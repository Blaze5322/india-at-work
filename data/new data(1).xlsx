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ia\Christ University\Semester 3\Growth and Development\"/>
    </mc:Choice>
  </mc:AlternateContent>
  <xr:revisionPtr revIDLastSave="0" documentId="8_{6A63C55D-E561-473D-9578-66620FBECF05}" xr6:coauthVersionLast="47" xr6:coauthVersionMax="47" xr10:uidLastSave="{00000000-0000-0000-0000-000000000000}"/>
  <bookViews>
    <workbookView xWindow="-110" yWindow="-110" windowWidth="19420" windowHeight="11500" activeTab="2" xr2:uid="{0D7E138B-FDBE-47DD-BD75-0F896948CA72}"/>
  </bookViews>
  <sheets>
    <sheet name="Sheet1" sheetId="1" r:id="rId1"/>
    <sheet name="Sheet2" sheetId="2" r:id="rId2"/>
    <sheet name="Sheet3" sheetId="3" r:id="rId3"/>
  </sheets>
  <definedNames>
    <definedName name="YearS">Sheet1!$A:$A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3" l="1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31" i="3"/>
  <c r="F33" i="3"/>
  <c r="F31" i="3" s="1"/>
  <c r="B32" i="3"/>
  <c r="B33" i="3"/>
  <c r="C33" i="3" s="1"/>
  <c r="B34" i="3"/>
  <c r="B35" i="3"/>
  <c r="B36" i="3"/>
  <c r="B37" i="3"/>
  <c r="C36" i="3" s="1"/>
  <c r="B38" i="3"/>
  <c r="B39" i="3"/>
  <c r="C38" i="3" s="1"/>
  <c r="B40" i="3"/>
  <c r="B41" i="3"/>
  <c r="B42" i="3"/>
  <c r="B43" i="3"/>
  <c r="C43" i="3" s="1"/>
  <c r="B44" i="3"/>
  <c r="B45" i="3"/>
  <c r="B46" i="3"/>
  <c r="B47" i="3"/>
  <c r="B48" i="3"/>
  <c r="B49" i="3"/>
  <c r="B50" i="3"/>
  <c r="B51" i="3"/>
  <c r="B52" i="3"/>
  <c r="B53" i="3"/>
  <c r="C52" i="3" s="1"/>
  <c r="B54" i="3"/>
  <c r="C53" i="3" s="1"/>
  <c r="B55" i="3"/>
  <c r="C54" i="3" s="1"/>
  <c r="B56" i="3"/>
  <c r="B57" i="3"/>
  <c r="B58" i="3"/>
  <c r="B59" i="3"/>
  <c r="B60" i="3"/>
  <c r="B61" i="3"/>
  <c r="B62" i="3"/>
  <c r="B63" i="3"/>
  <c r="B64" i="3"/>
  <c r="B65" i="3"/>
  <c r="B66" i="3"/>
  <c r="B31" i="3"/>
  <c r="C66" i="3"/>
  <c r="C34" i="3"/>
  <c r="C35" i="3"/>
  <c r="C37" i="3"/>
  <c r="C42" i="3"/>
  <c r="C44" i="3"/>
  <c r="C45" i="3"/>
  <c r="C46" i="3"/>
  <c r="C50" i="3"/>
  <c r="C51" i="3"/>
  <c r="C58" i="3"/>
  <c r="C59" i="3"/>
  <c r="C60" i="3"/>
  <c r="C61" i="3"/>
  <c r="C62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31" i="3"/>
  <c r="V17" i="2"/>
  <c r="T18" i="2"/>
  <c r="U18" i="2"/>
  <c r="R21" i="2"/>
  <c r="Y21" i="2"/>
  <c r="Q22" i="2"/>
  <c r="W24" i="2"/>
  <c r="U14" i="2"/>
  <c r="V14" i="2"/>
  <c r="J5" i="2"/>
  <c r="N2" i="2" s="1"/>
  <c r="K5" i="2"/>
  <c r="N3" i="2" s="1"/>
  <c r="J6" i="2"/>
  <c r="O2" i="2" s="1"/>
  <c r="K6" i="2"/>
  <c r="O3" i="2" s="1"/>
  <c r="J8" i="2"/>
  <c r="J9" i="2"/>
  <c r="I1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2" i="2"/>
  <c r="D31" i="2"/>
  <c r="D32" i="2"/>
  <c r="D33" i="2"/>
  <c r="D34" i="2"/>
  <c r="D35" i="2"/>
  <c r="D36" i="2"/>
  <c r="D37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" i="2"/>
  <c r="D4" i="2"/>
  <c r="D5" i="2"/>
  <c r="D6" i="2"/>
  <c r="D7" i="2"/>
  <c r="D8" i="2"/>
  <c r="D9" i="2"/>
  <c r="D10" i="2"/>
  <c r="D11" i="2"/>
  <c r="D12" i="2"/>
  <c r="D13" i="2"/>
  <c r="D14" i="2"/>
  <c r="D2" i="2"/>
  <c r="C31" i="3" l="1"/>
  <c r="C39" i="3"/>
  <c r="C64" i="3"/>
  <c r="C56" i="3"/>
  <c r="C48" i="3"/>
  <c r="C40" i="3"/>
  <c r="C32" i="3"/>
  <c r="C65" i="3"/>
  <c r="C63" i="3"/>
  <c r="C55" i="3"/>
  <c r="C47" i="3"/>
  <c r="C57" i="3"/>
  <c r="C49" i="3"/>
  <c r="C41" i="3"/>
  <c r="V24" i="2"/>
  <c r="Q21" i="2"/>
  <c r="U17" i="2"/>
  <c r="X23" i="2"/>
  <c r="S20" i="2"/>
  <c r="W16" i="2"/>
  <c r="W23" i="2"/>
  <c r="R20" i="2"/>
  <c r="V16" i="2"/>
  <c r="Y22" i="2"/>
  <c r="T19" i="2"/>
  <c r="X15" i="2"/>
  <c r="X22" i="2"/>
  <c r="S19" i="2"/>
  <c r="W15" i="2"/>
  <c r="T14" i="2"/>
  <c r="U24" i="2"/>
  <c r="V23" i="2"/>
  <c r="W22" i="2"/>
  <c r="X21" i="2"/>
  <c r="Y20" i="2"/>
  <c r="Q20" i="2"/>
  <c r="R19" i="2"/>
  <c r="S18" i="2"/>
  <c r="T17" i="2"/>
  <c r="U16" i="2"/>
  <c r="V15" i="2"/>
  <c r="S14" i="2"/>
  <c r="T24" i="2"/>
  <c r="U23" i="2"/>
  <c r="V22" i="2"/>
  <c r="W21" i="2"/>
  <c r="X20" i="2"/>
  <c r="Y19" i="2"/>
  <c r="Q19" i="2"/>
  <c r="R18" i="2"/>
  <c r="S17" i="2"/>
  <c r="T16" i="2"/>
  <c r="U15" i="2"/>
  <c r="R14" i="2"/>
  <c r="S24" i="2"/>
  <c r="T23" i="2"/>
  <c r="U22" i="2"/>
  <c r="V21" i="2"/>
  <c r="W20" i="2"/>
  <c r="X19" i="2"/>
  <c r="Y18" i="2"/>
  <c r="Q18" i="2"/>
  <c r="R17" i="2"/>
  <c r="S16" i="2"/>
  <c r="T15" i="2"/>
  <c r="Y14" i="2"/>
  <c r="R24" i="2"/>
  <c r="S23" i="2"/>
  <c r="T22" i="2"/>
  <c r="U21" i="2"/>
  <c r="V20" i="2"/>
  <c r="W19" i="2"/>
  <c r="X18" i="2"/>
  <c r="Y17" i="2"/>
  <c r="Q17" i="2"/>
  <c r="R16" i="2"/>
  <c r="S15" i="2"/>
  <c r="R15" i="2"/>
  <c r="X14" i="2"/>
  <c r="Y24" i="2"/>
  <c r="Q24" i="2"/>
  <c r="R23" i="2"/>
  <c r="S22" i="2"/>
  <c r="T21" i="2"/>
  <c r="U20" i="2"/>
  <c r="V19" i="2"/>
  <c r="W18" i="2"/>
  <c r="X17" i="2"/>
  <c r="Y16" i="2"/>
  <c r="Q16" i="2"/>
  <c r="W14" i="2"/>
  <c r="X24" i="2"/>
  <c r="Y23" i="2"/>
  <c r="Q23" i="2"/>
  <c r="R22" i="2"/>
  <c r="S21" i="2"/>
  <c r="T20" i="2"/>
  <c r="U19" i="2"/>
  <c r="V18" i="2"/>
  <c r="W17" i="2"/>
  <c r="X16" i="2"/>
  <c r="Y15" i="2"/>
  <c r="Q15" i="2"/>
  <c r="Q14" i="2"/>
  <c r="Q8" i="2"/>
  <c r="Y7" i="2"/>
  <c r="R7" i="2"/>
  <c r="W10" i="2"/>
  <c r="U4" i="2"/>
  <c r="T4" i="2"/>
  <c r="V3" i="2"/>
  <c r="V10" i="2"/>
  <c r="Q7" i="2"/>
  <c r="U3" i="2"/>
  <c r="U2" i="2"/>
  <c r="X9" i="2"/>
  <c r="S6" i="2"/>
  <c r="T2" i="2"/>
  <c r="W9" i="2"/>
  <c r="R6" i="2"/>
  <c r="Y8" i="2"/>
  <c r="T5" i="2"/>
  <c r="X8" i="2"/>
  <c r="S5" i="2"/>
  <c r="S2" i="2"/>
  <c r="U10" i="2"/>
  <c r="V9" i="2"/>
  <c r="W8" i="2"/>
  <c r="X7" i="2"/>
  <c r="Y6" i="2"/>
  <c r="Q6" i="2"/>
  <c r="R5" i="2"/>
  <c r="S4" i="2"/>
  <c r="T3" i="2"/>
  <c r="Q2" i="2"/>
  <c r="R2" i="2"/>
  <c r="T10" i="2"/>
  <c r="U9" i="2"/>
  <c r="V8" i="2"/>
  <c r="W7" i="2"/>
  <c r="X6" i="2"/>
  <c r="Y5" i="2"/>
  <c r="Q5" i="2"/>
  <c r="R4" i="2"/>
  <c r="S3" i="2"/>
  <c r="Y2" i="2"/>
  <c r="S10" i="2"/>
  <c r="T9" i="2"/>
  <c r="U8" i="2"/>
  <c r="V7" i="2"/>
  <c r="W6" i="2"/>
  <c r="X5" i="2"/>
  <c r="Y4" i="2"/>
  <c r="Q4" i="2"/>
  <c r="R3" i="2"/>
  <c r="X2" i="2"/>
  <c r="R10" i="2"/>
  <c r="S9" i="2"/>
  <c r="T8" i="2"/>
  <c r="U7" i="2"/>
  <c r="V6" i="2"/>
  <c r="W5" i="2"/>
  <c r="X4" i="2"/>
  <c r="Y3" i="2"/>
  <c r="Q3" i="2"/>
  <c r="W2" i="2"/>
  <c r="Y10" i="2"/>
  <c r="Q10" i="2"/>
  <c r="R9" i="2"/>
  <c r="S8" i="2"/>
  <c r="T7" i="2"/>
  <c r="U6" i="2"/>
  <c r="V5" i="2"/>
  <c r="W4" i="2"/>
  <c r="X3" i="2"/>
  <c r="V2" i="2"/>
  <c r="X10" i="2"/>
  <c r="Y9" i="2"/>
  <c r="Q9" i="2"/>
  <c r="R8" i="2"/>
  <c r="S7" i="2"/>
  <c r="T6" i="2"/>
  <c r="U5" i="2"/>
  <c r="V4" i="2"/>
  <c r="W3" i="2"/>
</calcChain>
</file>

<file path=xl/sharedStrings.xml><?xml version="1.0" encoding="utf-8"?>
<sst xmlns="http://schemas.openxmlformats.org/spreadsheetml/2006/main" count="34" uniqueCount="23">
  <si>
    <t>Year</t>
  </si>
  <si>
    <t>Male LFPR</t>
  </si>
  <si>
    <t>Female LFPR</t>
  </si>
  <si>
    <t>Male Unemployment</t>
  </si>
  <si>
    <t>Female Unemployment</t>
  </si>
  <si>
    <t>Employment-to-Population Ratio</t>
  </si>
  <si>
    <t>GDP Growth</t>
  </si>
  <si>
    <t>Youth_Unemployment_Percent</t>
  </si>
  <si>
    <t>FLPR GAP</t>
  </si>
  <si>
    <t>Unemployment gap</t>
  </si>
  <si>
    <t>SELECT YEAR</t>
  </si>
  <si>
    <t>Indicator</t>
  </si>
  <si>
    <t>Male</t>
  </si>
  <si>
    <t>LFPR</t>
  </si>
  <si>
    <t>Unemployment</t>
  </si>
  <si>
    <t>Female</t>
  </si>
  <si>
    <t>UNEMPLOYMENT GAP</t>
  </si>
  <si>
    <t>Gender</t>
  </si>
  <si>
    <t>LFPR Gap</t>
  </si>
  <si>
    <t>Gap Change</t>
  </si>
  <si>
    <t>EXPLORE A YEAR</t>
  </si>
  <si>
    <t>LFPR GAP</t>
  </si>
  <si>
    <t>Selected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</si>
</sst>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2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Who Participates in India's Labour Market?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Sheet2!$N$1</c:f>
              <c:strCache>
                <c:ptCount val="1"/>
                <c:pt idx="0">
                  <c:v>LFPR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Sheet2!$M$2:$M$3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Sheet2!$N$2:$N$3</c:f>
              <c:numCache>
                <c:formatCode>General</c:formatCode>
                <c:ptCount val="2"/>
                <c:pt idx="0">
                  <c:v>84.846999999999994</c:v>
                </c:pt>
                <c:pt idx="1">
                  <c:v>34.851999999999997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3-4A66-A17B-25B4BA722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131904"/>
        <c:axId val="1634540784"/>
      </c:barChart>
      <c:catAx>
        <c:axId val="164413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40784"/>
        <c:crosses val="autoZero"/>
        <c:auto val="1"/>
        <c:lblAlgn val="ctr"/>
        <c:lblOffset val="100"/>
        <c:noMultiLvlLbl val="0"/>
      </c:catAx>
      <c:valAx>
        <c:axId val="163454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Who is unemployed?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Sheet2!$O$1</c:f>
              <c:strCache>
                <c:ptCount val="1"/>
                <c:pt idx="0">
                  <c:v>Unemployment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Sheet2!$M$2:$M$3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Sheet2!$O$2:$O$3</c:f>
              <c:numCache>
                <c:formatCode>General</c:formatCode>
                <c:ptCount val="2"/>
                <c:pt idx="0">
                  <c:v>7.62</c:v>
                </c:pt>
                <c:pt idx="1">
                  <c:v>54.811999999999998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1-4CE1-B7DD-06351EB71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8836928"/>
        <c:axId val="1548049456"/>
      </c:barChart>
      <c:catAx>
        <c:axId val="170883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049456"/>
        <c:crosses val="autoZero"/>
        <c:auto val="1"/>
        <c:lblAlgn val="ctr"/>
        <c:lblOffset val="100"/>
        <c:noMultiLvlLbl val="0"/>
      </c:catAx>
      <c:valAx>
        <c:axId val="154804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83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Difference between male and female labour force participation rates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Sheet3!$B$30</c:f>
              <c:strCache>
                <c:ptCount val="1"/>
                <c:pt idx="0">
                  <c:v>LFPR Gap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Sheet3!$A$31:$A$67</c:f>
              <c:numCache>
                <c:formatCode>General</c:formatCod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Sheet3!$B$31:$B$66</c:f>
              <c:numCache>
                <c:formatCode>0.00</c:formatCode>
                <c:ptCount val="36"/>
                <c:pt idx="0">
                  <c:v>55.86099999999999</c:v>
                </c:pt>
                <c:pt idx="1">
                  <c:v>55.744</c:v>
                </c:pt>
                <c:pt idx="2">
                  <c:v>55.605000000000004</c:v>
                </c:pt>
                <c:pt idx="3">
                  <c:v>55.459000000000003</c:v>
                </c:pt>
                <c:pt idx="4">
                  <c:v>55.28</c:v>
                </c:pt>
                <c:pt idx="5">
                  <c:v>54.811999999999998</c:v>
                </c:pt>
                <c:pt idx="6">
                  <c:v>54.331000000000003</c:v>
                </c:pt>
                <c:pt idx="7">
                  <c:v>53.844999999999999</c:v>
                </c:pt>
                <c:pt idx="8">
                  <c:v>53.352000000000004</c:v>
                </c:pt>
                <c:pt idx="9">
                  <c:v>52.853000000000002</c:v>
                </c:pt>
                <c:pt idx="10">
                  <c:v>52.345000000000006</c:v>
                </c:pt>
                <c:pt idx="11">
                  <c:v>51.886000000000003</c:v>
                </c:pt>
                <c:pt idx="12">
                  <c:v>51.422999999999995</c:v>
                </c:pt>
                <c:pt idx="13">
                  <c:v>50.954000000000008</c:v>
                </c:pt>
                <c:pt idx="14">
                  <c:v>50.475999999999999</c:v>
                </c:pt>
                <c:pt idx="15">
                  <c:v>49.994999999999997</c:v>
                </c:pt>
                <c:pt idx="16">
                  <c:v>50.794999999999995</c:v>
                </c:pt>
                <c:pt idx="17">
                  <c:v>51.564999999999998</c:v>
                </c:pt>
                <c:pt idx="18">
                  <c:v>52.311000000000007</c:v>
                </c:pt>
                <c:pt idx="19">
                  <c:v>53.033000000000008</c:v>
                </c:pt>
                <c:pt idx="20">
                  <c:v>53.731999999999999</c:v>
                </c:pt>
                <c:pt idx="21">
                  <c:v>54.149000000000001</c:v>
                </c:pt>
                <c:pt idx="22">
                  <c:v>54.552000000000007</c:v>
                </c:pt>
                <c:pt idx="23">
                  <c:v>54.540000000000006</c:v>
                </c:pt>
                <c:pt idx="24">
                  <c:v>54.451000000000008</c:v>
                </c:pt>
                <c:pt idx="25">
                  <c:v>54.270999999999994</c:v>
                </c:pt>
                <c:pt idx="26">
                  <c:v>54.052999999999997</c:v>
                </c:pt>
                <c:pt idx="27">
                  <c:v>53.814999999999998</c:v>
                </c:pt>
                <c:pt idx="28">
                  <c:v>53.59</c:v>
                </c:pt>
                <c:pt idx="29">
                  <c:v>53.388999999999996</c:v>
                </c:pt>
                <c:pt idx="30">
                  <c:v>53.122</c:v>
                </c:pt>
                <c:pt idx="31">
                  <c:v>51.786999999999992</c:v>
                </c:pt>
                <c:pt idx="32">
                  <c:v>50.805999999999997</c:v>
                </c:pt>
                <c:pt idx="33">
                  <c:v>49.919000000000004</c:v>
                </c:pt>
                <c:pt idx="34">
                  <c:v>49.074000000000005</c:v>
                </c:pt>
                <c:pt idx="35">
                  <c:v>49.227000000000004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F4-4791-B80F-6A2B0CE35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822444560"/>
        <c:axId val="1634543184"/>
      </c:barChart>
      <c:catAx>
        <c:axId val="1822444560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43184"/>
        <c:crosses val="autoZero"/>
        <c:auto val="1"/>
        <c:lblAlgn val="ctr"/>
        <c:lblOffset val="100"/>
        <c:noMultiLvlLbl val="0"/>
      </c:catAx>
      <c:valAx>
        <c:axId val="163454318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44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977974</xdr:colOff>
      <xdr:row>11</xdr:row>
      <xdr:rowOff>181787</xdr:rowOff>
    </xdr:from>
    <xdr:to>
      <xdr:col>14</xdr:col>
      <xdr:colOff>175363</xdr:colOff>
      <xdr:row>26</xdr:row>
      <xdr:rowOff>162737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2047E1-9DE5-74B1-A3F4-40E7A038B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980640</xdr:colOff>
      <xdr:row>27</xdr:row>
      <xdr:rowOff>185103</xdr:rowOff>
    </xdr:from>
    <xdr:to>
      <xdr:col>14</xdr:col>
      <xdr:colOff>151178</xdr:colOff>
      <xdr:row>42</xdr:row>
      <xdr:rowOff>165437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7AB878-79FC-FDB5-3FF1-B302D2B5C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34924</xdr:colOff>
      <xdr:row>33</xdr:row>
      <xdr:rowOff>25400</xdr:rowOff>
    </xdr:from>
    <xdr:to>
      <xdr:col>12</xdr:col>
      <xdr:colOff>495300</xdr:colOff>
      <xdr:row>51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CD3CB2-37C1-D2C2-01BA-24A746C11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4127-44B9-4341-8EE5-55406ED8EE73}">
  <dimension ref="A1:H37"/>
  <sheetViews>
    <sheetView topLeftCell="F1" workbookViewId="0">
      <selection activeCell="H18" sqref="H18"/>
    </sheetView>
  </sheetViews>
  <sheetFormatPr defaultRowHeight="14.5"/>
  <cols>
    <col min="2" max="2" width="24.7265625" customWidth="1"/>
    <col min="3" max="3" width="21.90625" customWidth="1"/>
    <col min="4" max="4" width="19.08984375" customWidth="1"/>
    <col min="5" max="5" width="24.90625" customWidth="1"/>
    <col min="6" max="6" width="27.90625" customWidth="1"/>
    <col min="7" max="7" width="20.36328125" customWidth="1"/>
    <col min="8" max="8" width="32.816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1990</v>
      </c>
      <c r="B2" s="2">
        <v>86.117999999999995</v>
      </c>
      <c r="C2" s="2">
        <v>30.257000000000001</v>
      </c>
    </row>
    <row r="3" spans="1:8">
      <c r="A3">
        <v>1991</v>
      </c>
      <c r="B3" s="2">
        <v>86.105000000000004</v>
      </c>
      <c r="C3" s="2">
        <v>30.361000000000001</v>
      </c>
      <c r="D3" s="2">
        <v>7.62</v>
      </c>
      <c r="E3" s="2">
        <v>7.702</v>
      </c>
      <c r="F3" s="2">
        <v>53.536999999999999</v>
      </c>
      <c r="G3" s="2">
        <v>1.0568314329617901</v>
      </c>
      <c r="H3" s="2">
        <v>20.18</v>
      </c>
    </row>
    <row r="4" spans="1:8">
      <c r="A4">
        <v>1992</v>
      </c>
      <c r="B4" s="2">
        <v>86.081000000000003</v>
      </c>
      <c r="C4" s="2">
        <v>30.475999999999999</v>
      </c>
      <c r="D4" s="2">
        <v>7.6289999999999996</v>
      </c>
      <c r="E4" s="2">
        <v>7.71</v>
      </c>
      <c r="F4" s="2">
        <v>53.561</v>
      </c>
      <c r="G4" s="2">
        <v>5.4823960216700298</v>
      </c>
      <c r="H4" s="2">
        <v>20.260000000000002</v>
      </c>
    </row>
    <row r="5" spans="1:8">
      <c r="A5">
        <v>1993</v>
      </c>
      <c r="B5" s="2">
        <v>86.054000000000002</v>
      </c>
      <c r="C5" s="2">
        <v>30.594999999999999</v>
      </c>
      <c r="D5" s="2">
        <v>7.6420000000000003</v>
      </c>
      <c r="E5" s="2">
        <v>7.7210000000000001</v>
      </c>
      <c r="F5" s="2">
        <v>53.581000000000003</v>
      </c>
      <c r="G5" s="2">
        <v>4.7507762195799002</v>
      </c>
      <c r="H5" s="2">
        <v>20.350000000000001</v>
      </c>
    </row>
    <row r="6" spans="1:8">
      <c r="A6">
        <v>1994</v>
      </c>
      <c r="B6" s="2">
        <v>86.016000000000005</v>
      </c>
      <c r="C6" s="2">
        <v>30.736000000000001</v>
      </c>
      <c r="D6" s="2">
        <v>7.57</v>
      </c>
      <c r="E6" s="2">
        <v>7.66</v>
      </c>
      <c r="F6" s="2">
        <v>53.655000000000001</v>
      </c>
      <c r="G6" s="2">
        <v>6.6589240674730696</v>
      </c>
      <c r="H6" s="2">
        <v>20.27</v>
      </c>
    </row>
    <row r="7" spans="1:8">
      <c r="A7">
        <v>1995</v>
      </c>
      <c r="B7" s="2">
        <v>86.143000000000001</v>
      </c>
      <c r="C7" s="2">
        <v>31.331</v>
      </c>
      <c r="D7" s="2">
        <v>7.5449999999999999</v>
      </c>
      <c r="E7" s="2">
        <v>7.6390000000000002</v>
      </c>
      <c r="F7" s="2">
        <v>53.975000000000001</v>
      </c>
      <c r="G7" s="2">
        <v>7.5744918402719499</v>
      </c>
      <c r="H7" s="2">
        <v>20.2</v>
      </c>
    </row>
    <row r="8" spans="1:8">
      <c r="A8">
        <v>1996</v>
      </c>
      <c r="B8" s="2">
        <v>86.265000000000001</v>
      </c>
      <c r="C8" s="2">
        <v>31.934000000000001</v>
      </c>
      <c r="D8" s="2">
        <v>7.5110000000000001</v>
      </c>
      <c r="E8" s="2">
        <v>7.6109999999999998</v>
      </c>
      <c r="F8" s="2">
        <v>54.302</v>
      </c>
      <c r="G8" s="2">
        <v>7.54952224888829</v>
      </c>
      <c r="H8" s="2">
        <v>20.12</v>
      </c>
    </row>
    <row r="9" spans="1:8">
      <c r="A9">
        <v>1997</v>
      </c>
      <c r="B9" s="2">
        <v>86.387</v>
      </c>
      <c r="C9" s="2">
        <v>32.542000000000002</v>
      </c>
      <c r="D9" s="2">
        <v>7.5490000000000004</v>
      </c>
      <c r="E9" s="2">
        <v>7.6429999999999998</v>
      </c>
      <c r="F9" s="2">
        <v>54.591999999999999</v>
      </c>
      <c r="G9" s="2">
        <v>4.0498208490248304</v>
      </c>
      <c r="H9" s="2">
        <v>20.190000000000001</v>
      </c>
    </row>
    <row r="10" spans="1:8">
      <c r="A10">
        <v>1998</v>
      </c>
      <c r="B10" s="2">
        <v>86.509</v>
      </c>
      <c r="C10" s="2">
        <v>33.156999999999996</v>
      </c>
      <c r="D10" s="2">
        <v>7.5709999999999997</v>
      </c>
      <c r="E10" s="2">
        <v>7.6609999999999996</v>
      </c>
      <c r="F10" s="2">
        <v>54.892000000000003</v>
      </c>
      <c r="G10" s="2">
        <v>6.18441582080355</v>
      </c>
      <c r="H10" s="2">
        <v>20.22</v>
      </c>
    </row>
    <row r="11" spans="1:8">
      <c r="A11">
        <v>1999</v>
      </c>
      <c r="B11" s="2">
        <v>86.628</v>
      </c>
      <c r="C11" s="2">
        <v>33.774999999999999</v>
      </c>
      <c r="D11" s="2">
        <v>7.5579999999999998</v>
      </c>
      <c r="E11" s="2">
        <v>7.65</v>
      </c>
      <c r="F11" s="2">
        <v>55.213000000000001</v>
      </c>
      <c r="G11" s="2">
        <v>8.8457555611411607</v>
      </c>
      <c r="H11" s="2">
        <v>20.190000000000001</v>
      </c>
    </row>
    <row r="12" spans="1:8">
      <c r="A12">
        <v>2000</v>
      </c>
      <c r="B12" s="2">
        <v>86.742000000000004</v>
      </c>
      <c r="C12" s="2">
        <v>34.396999999999998</v>
      </c>
      <c r="D12" s="2">
        <v>7.5640000000000001</v>
      </c>
      <c r="E12" s="2">
        <v>7.6550000000000002</v>
      </c>
      <c r="F12" s="2">
        <v>55.52</v>
      </c>
      <c r="G12" s="2">
        <v>3.8409911568655399</v>
      </c>
      <c r="H12" s="2">
        <v>20.2</v>
      </c>
    </row>
    <row r="13" spans="1:8">
      <c r="A13">
        <v>2001</v>
      </c>
      <c r="B13" s="2">
        <v>86.369</v>
      </c>
      <c r="C13" s="2">
        <v>34.482999999999997</v>
      </c>
      <c r="D13" s="2">
        <v>7.5869999999999997</v>
      </c>
      <c r="E13" s="2">
        <v>7.6740000000000004</v>
      </c>
      <c r="F13" s="2">
        <v>55.363</v>
      </c>
      <c r="G13" s="2">
        <v>4.8239662639730296</v>
      </c>
      <c r="H13" s="2">
        <v>20.420000000000002</v>
      </c>
    </row>
    <row r="14" spans="1:8">
      <c r="A14">
        <v>2002</v>
      </c>
      <c r="B14" s="2">
        <v>85.992999999999995</v>
      </c>
      <c r="C14" s="2">
        <v>34.57</v>
      </c>
      <c r="D14" s="2">
        <v>7.6589999999999998</v>
      </c>
      <c r="E14" s="2">
        <v>7.7359999999999998</v>
      </c>
      <c r="F14" s="2">
        <v>55.174999999999997</v>
      </c>
      <c r="G14" s="2">
        <v>3.80397532120038</v>
      </c>
      <c r="H14" s="2">
        <v>20.76</v>
      </c>
    </row>
    <row r="15" spans="1:8">
      <c r="A15">
        <v>2003</v>
      </c>
      <c r="B15" s="2">
        <v>85.614000000000004</v>
      </c>
      <c r="C15" s="2">
        <v>34.659999999999997</v>
      </c>
      <c r="D15" s="2">
        <v>7.61</v>
      </c>
      <c r="E15" s="2">
        <v>7.694</v>
      </c>
      <c r="F15" s="2">
        <v>55.055999999999997</v>
      </c>
      <c r="G15" s="2">
        <v>7.86038147545045</v>
      </c>
      <c r="H15" s="2">
        <v>20.86</v>
      </c>
    </row>
    <row r="16" spans="1:8">
      <c r="A16">
        <v>2004</v>
      </c>
      <c r="B16" s="2">
        <v>85.228999999999999</v>
      </c>
      <c r="C16" s="2">
        <v>34.753</v>
      </c>
      <c r="D16" s="2">
        <v>7.5730000000000004</v>
      </c>
      <c r="E16" s="2">
        <v>7.6630000000000003</v>
      </c>
      <c r="F16" s="2">
        <v>54.927999999999997</v>
      </c>
      <c r="G16" s="2">
        <v>7.9229366130797798</v>
      </c>
      <c r="H16" s="2">
        <v>20.99</v>
      </c>
    </row>
    <row r="17" spans="1:8">
      <c r="A17">
        <v>2005</v>
      </c>
      <c r="B17" s="2">
        <v>84.846999999999994</v>
      </c>
      <c r="C17" s="2">
        <v>34.851999999999997</v>
      </c>
      <c r="D17" s="2">
        <v>7.5229999999999997</v>
      </c>
      <c r="E17" s="2">
        <v>7.62</v>
      </c>
      <c r="F17" s="2">
        <v>54.811999999999998</v>
      </c>
      <c r="G17" s="2">
        <v>7.9234306213178902</v>
      </c>
      <c r="H17" s="2">
        <v>21.12</v>
      </c>
    </row>
    <row r="18" spans="1:8">
      <c r="A18">
        <v>2006</v>
      </c>
      <c r="B18" s="2">
        <v>84.293999999999997</v>
      </c>
      <c r="C18" s="2">
        <v>33.499000000000002</v>
      </c>
      <c r="D18" s="2">
        <v>7.5259999999999998</v>
      </c>
      <c r="E18" s="2">
        <v>7.6230000000000002</v>
      </c>
      <c r="F18" s="2">
        <v>53.938000000000002</v>
      </c>
      <c r="G18" s="2">
        <v>8.0607325730505703</v>
      </c>
      <c r="H18" s="2">
        <v>21.47</v>
      </c>
    </row>
    <row r="19" spans="1:8">
      <c r="A19">
        <v>2007</v>
      </c>
      <c r="B19" s="2">
        <v>83.744</v>
      </c>
      <c r="C19" s="2">
        <v>32.179000000000002</v>
      </c>
      <c r="D19" s="2">
        <v>7.5359999999999996</v>
      </c>
      <c r="E19" s="2">
        <v>7.6310000000000002</v>
      </c>
      <c r="F19" s="2">
        <v>53.076000000000001</v>
      </c>
      <c r="G19" s="2">
        <v>7.6608150651076601</v>
      </c>
      <c r="H19" s="2">
        <v>21.86</v>
      </c>
    </row>
    <row r="20" spans="1:8">
      <c r="A20">
        <v>2008</v>
      </c>
      <c r="B20" s="2">
        <v>83.203000000000003</v>
      </c>
      <c r="C20" s="2">
        <v>30.891999999999999</v>
      </c>
      <c r="D20" s="2">
        <v>7.6059999999999999</v>
      </c>
      <c r="E20" s="2">
        <v>7.6909999999999998</v>
      </c>
      <c r="F20" s="2">
        <v>52.2</v>
      </c>
      <c r="G20" s="2">
        <v>3.08669805950082</v>
      </c>
      <c r="H20" s="2">
        <v>22.42</v>
      </c>
    </row>
    <row r="21" spans="1:8">
      <c r="A21">
        <v>2009</v>
      </c>
      <c r="B21" s="2">
        <v>82.674000000000007</v>
      </c>
      <c r="C21" s="2">
        <v>29.640999999999998</v>
      </c>
      <c r="D21" s="2">
        <v>7.6150000000000002</v>
      </c>
      <c r="E21" s="2">
        <v>7.6980000000000004</v>
      </c>
      <c r="F21" s="2">
        <v>51.378999999999998</v>
      </c>
      <c r="G21" s="2">
        <v>7.8618888330337997</v>
      </c>
      <c r="H21" s="2">
        <v>22.86</v>
      </c>
    </row>
    <row r="22" spans="1:8">
      <c r="A22">
        <v>2010</v>
      </c>
      <c r="B22" s="2">
        <v>82.156999999999996</v>
      </c>
      <c r="C22" s="2">
        <v>28.425000000000001</v>
      </c>
      <c r="D22" s="2">
        <v>7.61</v>
      </c>
      <c r="E22" s="2">
        <v>7.694</v>
      </c>
      <c r="F22" s="2">
        <v>50.585999999999999</v>
      </c>
      <c r="G22" s="2">
        <v>8.4975847016562494</v>
      </c>
      <c r="H22" s="2">
        <v>23.3</v>
      </c>
    </row>
    <row r="23" spans="1:8">
      <c r="A23">
        <v>2011</v>
      </c>
      <c r="B23" s="2">
        <v>81.731999999999999</v>
      </c>
      <c r="C23" s="2">
        <v>27.582999999999998</v>
      </c>
      <c r="D23" s="2">
        <v>7.5869999999999997</v>
      </c>
      <c r="E23" s="2">
        <v>7.6749999999999998</v>
      </c>
      <c r="F23" s="2">
        <v>50.012</v>
      </c>
      <c r="G23" s="2">
        <v>5.2413162002429301</v>
      </c>
      <c r="H23" s="2">
        <v>23.64</v>
      </c>
    </row>
    <row r="24" spans="1:8">
      <c r="A24">
        <v>2012</v>
      </c>
      <c r="B24" s="2">
        <v>81.316000000000003</v>
      </c>
      <c r="C24" s="2">
        <v>26.763999999999999</v>
      </c>
      <c r="D24" s="2">
        <v>7.625</v>
      </c>
      <c r="E24" s="2">
        <v>7.7069999999999999</v>
      </c>
      <c r="F24" s="2">
        <v>49.417999999999999</v>
      </c>
      <c r="G24" s="2">
        <v>5.4563875516477198</v>
      </c>
      <c r="H24" s="2">
        <v>24.14</v>
      </c>
    </row>
    <row r="25" spans="1:8">
      <c r="A25">
        <v>2013</v>
      </c>
      <c r="B25" s="2">
        <v>81.209000000000003</v>
      </c>
      <c r="C25" s="2">
        <v>26.669</v>
      </c>
      <c r="D25" s="2">
        <v>7.6589999999999998</v>
      </c>
      <c r="E25" s="2">
        <v>7.7359999999999998</v>
      </c>
      <c r="F25" s="2">
        <v>49.267000000000003</v>
      </c>
      <c r="G25" s="2">
        <v>6.3861064009171304</v>
      </c>
      <c r="H25" s="2">
        <v>24.47</v>
      </c>
    </row>
    <row r="26" spans="1:8">
      <c r="A26">
        <v>2014</v>
      </c>
      <c r="B26" s="2">
        <v>81.058000000000007</v>
      </c>
      <c r="C26" s="2">
        <v>26.606999999999999</v>
      </c>
      <c r="D26" s="2">
        <v>7.6360000000000001</v>
      </c>
      <c r="E26" s="2">
        <v>7.7169999999999996</v>
      </c>
      <c r="F26" s="2">
        <v>49.131999999999998</v>
      </c>
      <c r="G26" s="2">
        <v>7.4102276051697702</v>
      </c>
      <c r="H26" s="2">
        <v>24.71</v>
      </c>
    </row>
    <row r="27" spans="1:8">
      <c r="A27">
        <v>2015</v>
      </c>
      <c r="B27" s="2">
        <v>80.852999999999994</v>
      </c>
      <c r="C27" s="2">
        <v>26.582000000000001</v>
      </c>
      <c r="D27" s="2">
        <v>7.609</v>
      </c>
      <c r="E27" s="2">
        <v>7.6929999999999996</v>
      </c>
      <c r="F27" s="2">
        <v>48.984999999999999</v>
      </c>
      <c r="G27" s="2">
        <v>7.9962537856798699</v>
      </c>
      <c r="H27" s="2">
        <v>24.96</v>
      </c>
    </row>
    <row r="28" spans="1:8">
      <c r="A28">
        <v>2016</v>
      </c>
      <c r="B28" s="2">
        <v>80.628</v>
      </c>
      <c r="C28" s="2">
        <v>26.574999999999999</v>
      </c>
      <c r="D28" s="2">
        <v>7.59</v>
      </c>
      <c r="E28" s="2">
        <v>7.6779999999999999</v>
      </c>
      <c r="F28" s="2">
        <v>48.83</v>
      </c>
      <c r="G28" s="2">
        <v>8.2563055017666205</v>
      </c>
      <c r="H28" s="2">
        <v>25.23</v>
      </c>
    </row>
    <row r="29" spans="1:8">
      <c r="A29">
        <v>2017</v>
      </c>
      <c r="B29" s="2">
        <v>80.393000000000001</v>
      </c>
      <c r="C29" s="2">
        <v>26.577999999999999</v>
      </c>
      <c r="D29" s="2">
        <v>7.6050000000000004</v>
      </c>
      <c r="E29" s="2">
        <v>7.69</v>
      </c>
      <c r="F29" s="2">
        <v>48.655000000000001</v>
      </c>
      <c r="G29" s="2">
        <v>6.7953834190242199</v>
      </c>
      <c r="H29" s="2">
        <v>25.59</v>
      </c>
    </row>
    <row r="30" spans="1:8">
      <c r="A30">
        <v>2018</v>
      </c>
      <c r="B30" s="2">
        <v>80.158000000000001</v>
      </c>
      <c r="C30" s="2">
        <v>26.568000000000001</v>
      </c>
      <c r="D30" s="2">
        <v>7.6319999999999997</v>
      </c>
      <c r="E30" s="2">
        <v>7.7130000000000001</v>
      </c>
      <c r="F30" s="2">
        <v>48.466000000000001</v>
      </c>
      <c r="G30" s="2">
        <v>6.45385134495295</v>
      </c>
      <c r="H30">
        <v>26</v>
      </c>
    </row>
    <row r="31" spans="1:8">
      <c r="A31">
        <v>2019</v>
      </c>
      <c r="B31" s="2">
        <v>79.927999999999997</v>
      </c>
      <c r="C31" s="2">
        <v>26.539000000000001</v>
      </c>
      <c r="D31" s="2">
        <v>6.6529999999999996</v>
      </c>
      <c r="E31" s="2">
        <v>6.0730000000000004</v>
      </c>
      <c r="F31" s="2">
        <v>48.88</v>
      </c>
      <c r="G31" s="2">
        <v>3.87143694070524</v>
      </c>
      <c r="H31" s="2">
        <v>22.95</v>
      </c>
    </row>
    <row r="32" spans="1:8">
      <c r="A32">
        <v>2020</v>
      </c>
      <c r="B32" s="2">
        <v>79.12</v>
      </c>
      <c r="C32" s="2">
        <v>25.998000000000001</v>
      </c>
      <c r="D32" s="2">
        <v>8.2189999999999994</v>
      </c>
      <c r="E32" s="2">
        <v>6.7489999999999997</v>
      </c>
      <c r="F32" s="2">
        <v>47.496000000000002</v>
      </c>
      <c r="G32" s="2">
        <v>-5.7777247068730304</v>
      </c>
      <c r="H32" s="2">
        <v>24.67</v>
      </c>
    </row>
    <row r="33" spans="1:8">
      <c r="A33">
        <v>2021</v>
      </c>
      <c r="B33" s="2">
        <v>79.510999999999996</v>
      </c>
      <c r="C33" s="2">
        <v>27.724</v>
      </c>
      <c r="D33" s="2">
        <v>6.72</v>
      </c>
      <c r="E33" s="2">
        <v>5.3940000000000001</v>
      </c>
      <c r="F33" s="2">
        <v>49.170999999999999</v>
      </c>
      <c r="G33" s="2">
        <v>9.6895924919174092</v>
      </c>
      <c r="H33" s="2">
        <v>20.82</v>
      </c>
    </row>
    <row r="34" spans="1:8">
      <c r="A34">
        <v>2022</v>
      </c>
      <c r="B34" s="2">
        <v>80.153999999999996</v>
      </c>
      <c r="C34" s="2">
        <v>29.347999999999999</v>
      </c>
      <c r="D34" s="2">
        <v>4.907</v>
      </c>
      <c r="E34" s="2">
        <v>4.5869999999999997</v>
      </c>
      <c r="F34" s="2">
        <v>51.003</v>
      </c>
      <c r="G34" s="2">
        <v>7.6093649776932004</v>
      </c>
      <c r="H34" s="2">
        <v>17.73</v>
      </c>
    </row>
    <row r="35" spans="1:8">
      <c r="A35">
        <v>2023</v>
      </c>
      <c r="B35" s="2">
        <v>80.903000000000006</v>
      </c>
      <c r="C35" s="2">
        <v>30.984000000000002</v>
      </c>
      <c r="D35" s="2">
        <v>4.2160000000000002</v>
      </c>
      <c r="E35" s="2">
        <v>4.0570000000000004</v>
      </c>
      <c r="F35" s="2">
        <v>52.414999999999999</v>
      </c>
      <c r="G35" s="2">
        <v>7.2102246293350003</v>
      </c>
      <c r="H35" s="2">
        <v>15.6</v>
      </c>
    </row>
    <row r="36" spans="1:8">
      <c r="A36">
        <v>2024</v>
      </c>
      <c r="B36" s="2">
        <v>81.489000000000004</v>
      </c>
      <c r="C36" s="2">
        <v>32.414999999999999</v>
      </c>
      <c r="D36" s="2">
        <v>4.2069999999999999</v>
      </c>
      <c r="E36" s="2">
        <v>4.0880000000000001</v>
      </c>
      <c r="F36" s="2">
        <v>53.317</v>
      </c>
      <c r="G36" s="2">
        <v>7.0992789317651797</v>
      </c>
      <c r="H36" s="2">
        <v>15.75</v>
      </c>
    </row>
    <row r="37" spans="1:8">
      <c r="A37">
        <v>2025</v>
      </c>
      <c r="B37" s="2">
        <v>81.652000000000001</v>
      </c>
      <c r="C37" s="2">
        <v>32.424999999999997</v>
      </c>
      <c r="D37" s="2">
        <v>4.2489999999999997</v>
      </c>
      <c r="E37" s="2">
        <v>4.141</v>
      </c>
      <c r="F37" s="2">
        <v>53.31</v>
      </c>
      <c r="G37" s="2">
        <v>7.5666617928424396</v>
      </c>
      <c r="H37" s="2">
        <v>16.02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C1C1-A5DA-4A96-8FA7-9EF71E9A955C}">
  <dimension ref="A1:Y37"/>
  <sheetViews>
    <sheetView topLeftCell="G1" zoomScale="72" workbookViewId="0">
      <selection activeCell="I2" sqref="I2"/>
    </sheetView>
  </sheetViews>
  <sheetFormatPr defaultRowHeight="14.5"/>
  <cols>
    <col min="2" max="2" width="17.7265625" customWidth="1"/>
    <col min="3" max="3" width="15.6328125" customWidth="1"/>
    <col min="4" max="4" width="11.36328125" customWidth="1"/>
    <col min="5" max="5" width="19.08984375" customWidth="1"/>
    <col min="6" max="6" width="24.90625" customWidth="1"/>
    <col min="7" max="7" width="17" customWidth="1"/>
    <col min="8" max="8" width="14.08984375" customWidth="1"/>
    <col min="9" max="9" width="14.81640625" customWidth="1"/>
    <col min="10" max="10" width="12.453125" customWidth="1"/>
    <col min="13" max="13" width="9.453125" customWidth="1"/>
    <col min="15" max="15" width="16.08984375" customWidth="1"/>
  </cols>
  <sheetData>
    <row r="1" spans="1:25">
      <c r="A1" s="5" t="s">
        <v>0</v>
      </c>
      <c r="B1" s="5" t="s">
        <v>1</v>
      </c>
      <c r="C1" s="5" t="s">
        <v>2</v>
      </c>
      <c r="D1" s="5" t="s">
        <v>8</v>
      </c>
      <c r="E1" s="5" t="s">
        <v>3</v>
      </c>
      <c r="F1" s="5" t="s">
        <v>4</v>
      </c>
      <c r="G1" s="3" t="s">
        <v>9</v>
      </c>
      <c r="I1" s="4" t="s">
        <v>10</v>
      </c>
      <c r="M1" s="9" t="s">
        <v>17</v>
      </c>
      <c r="N1" s="8" t="s">
        <v>13</v>
      </c>
      <c r="O1" s="8" t="s">
        <v>14</v>
      </c>
    </row>
    <row r="2" spans="1:25">
      <c r="A2" s="6">
        <v>1990</v>
      </c>
      <c r="B2" s="7">
        <v>86.117999999999995</v>
      </c>
      <c r="C2" s="7">
        <v>30.257000000000001</v>
      </c>
      <c r="D2" s="7">
        <f t="shared" ref="D2:D30" si="0">B2-C2</f>
        <v>55.86099999999999</v>
      </c>
      <c r="E2" s="6"/>
      <c r="F2" s="6"/>
      <c r="G2" s="6">
        <f>E2-F2</f>
        <v>0</v>
      </c>
      <c r="I2">
        <v>2005</v>
      </c>
      <c r="M2" s="9" t="s">
        <v>12</v>
      </c>
      <c r="N2" s="10">
        <f>J5</f>
        <v>84.846999999999994</v>
      </c>
      <c r="O2" s="10">
        <f>J6</f>
        <v>7.62</v>
      </c>
      <c r="Q2" t="str">
        <f>IF((ROW()-ROW($M$5))*10+COLUMN()-COLUMN($M$5)+1&lt;=ROUND($J$5,0),"●","○")</f>
        <v>●</v>
      </c>
      <c r="R2" t="str">
        <f t="shared" ref="R2:Y10" si="1">IF((ROW()-ROW($M$5))*10+COLUMN()-COLUMN($M$5)+1&lt;=ROUND($J$5,0),"●","○")</f>
        <v>●</v>
      </c>
      <c r="S2" t="str">
        <f t="shared" si="1"/>
        <v>●</v>
      </c>
      <c r="T2" t="str">
        <f t="shared" si="1"/>
        <v>●</v>
      </c>
      <c r="U2" t="str">
        <f t="shared" si="1"/>
        <v>●</v>
      </c>
      <c r="V2" t="str">
        <f t="shared" si="1"/>
        <v>●</v>
      </c>
      <c r="W2" t="str">
        <f t="shared" si="1"/>
        <v>●</v>
      </c>
      <c r="X2" t="str">
        <f t="shared" si="1"/>
        <v>●</v>
      </c>
      <c r="Y2" t="str">
        <f t="shared" si="1"/>
        <v>●</v>
      </c>
    </row>
    <row r="3" spans="1:25">
      <c r="A3" s="6">
        <v>1991</v>
      </c>
      <c r="B3" s="7">
        <v>86.105000000000004</v>
      </c>
      <c r="C3" s="7">
        <v>30.361000000000001</v>
      </c>
      <c r="D3" s="7">
        <f t="shared" si="0"/>
        <v>55.744</v>
      </c>
      <c r="E3" s="7">
        <v>7.62</v>
      </c>
      <c r="F3" s="7">
        <v>7.702</v>
      </c>
      <c r="G3" s="6">
        <f t="shared" ref="G3:G37" si="2">E3-F3</f>
        <v>-8.1999999999999851E-2</v>
      </c>
      <c r="M3" s="9" t="s">
        <v>15</v>
      </c>
      <c r="N3" s="10">
        <f>K5</f>
        <v>34.851999999999997</v>
      </c>
      <c r="O3" s="10">
        <f>K6</f>
        <v>54.811999999999998</v>
      </c>
      <c r="Q3" t="str">
        <f t="shared" ref="Q3:Q10" si="3">IF((ROW()-ROW($M$5))*10+COLUMN()-COLUMN($M$5)+1&lt;=ROUND($J$5,0),"●","○")</f>
        <v>●</v>
      </c>
      <c r="R3" t="str">
        <f t="shared" si="1"/>
        <v>●</v>
      </c>
      <c r="S3" t="str">
        <f t="shared" si="1"/>
        <v>●</v>
      </c>
      <c r="T3" t="str">
        <f t="shared" si="1"/>
        <v>●</v>
      </c>
      <c r="U3" t="str">
        <f t="shared" si="1"/>
        <v>●</v>
      </c>
      <c r="V3" t="str">
        <f t="shared" si="1"/>
        <v>●</v>
      </c>
      <c r="W3" t="str">
        <f t="shared" si="1"/>
        <v>●</v>
      </c>
      <c r="X3" t="str">
        <f t="shared" si="1"/>
        <v>●</v>
      </c>
      <c r="Y3" t="str">
        <f t="shared" si="1"/>
        <v>●</v>
      </c>
    </row>
    <row r="4" spans="1:25">
      <c r="A4" s="6">
        <v>1992</v>
      </c>
      <c r="B4" s="7">
        <v>86.081000000000003</v>
      </c>
      <c r="C4" s="7">
        <v>30.475999999999999</v>
      </c>
      <c r="D4" s="7">
        <f t="shared" si="0"/>
        <v>55.605000000000004</v>
      </c>
      <c r="E4" s="7">
        <v>7.6289999999999996</v>
      </c>
      <c r="F4" s="7">
        <v>7.71</v>
      </c>
      <c r="G4" s="6">
        <f t="shared" si="2"/>
        <v>-8.1000000000000405E-2</v>
      </c>
      <c r="I4" s="4" t="s">
        <v>11</v>
      </c>
      <c r="J4" s="4" t="s">
        <v>12</v>
      </c>
      <c r="K4" s="4" t="s">
        <v>15</v>
      </c>
      <c r="Q4" t="str">
        <f t="shared" si="3"/>
        <v>●</v>
      </c>
      <c r="R4" t="str">
        <f t="shared" si="1"/>
        <v>●</v>
      </c>
      <c r="S4" t="str">
        <f t="shared" si="1"/>
        <v>●</v>
      </c>
      <c r="T4" t="str">
        <f t="shared" si="1"/>
        <v>●</v>
      </c>
      <c r="U4" t="str">
        <f t="shared" si="1"/>
        <v>●</v>
      </c>
      <c r="V4" t="str">
        <f t="shared" si="1"/>
        <v>●</v>
      </c>
      <c r="W4" t="str">
        <f t="shared" si="1"/>
        <v>●</v>
      </c>
      <c r="X4" t="str">
        <f t="shared" si="1"/>
        <v>●</v>
      </c>
      <c r="Y4" t="str">
        <f t="shared" si="1"/>
        <v>●</v>
      </c>
    </row>
    <row r="5" spans="1:25">
      <c r="A5" s="6">
        <v>1993</v>
      </c>
      <c r="B5" s="7">
        <v>86.054000000000002</v>
      </c>
      <c r="C5" s="7">
        <v>30.594999999999999</v>
      </c>
      <c r="D5" s="7">
        <f t="shared" si="0"/>
        <v>55.459000000000003</v>
      </c>
      <c r="E5" s="7">
        <v>7.6420000000000003</v>
      </c>
      <c r="F5" s="7">
        <v>7.7210000000000001</v>
      </c>
      <c r="G5" s="6">
        <f t="shared" si="2"/>
        <v>-7.8999999999999737E-2</v>
      </c>
      <c r="I5" s="4" t="s">
        <v>13</v>
      </c>
      <c r="J5">
        <f>_xlfn.XLOOKUP($I$2,Sheet1!$A$2:$A$37,Sheet1!$B$2:$B$37)</f>
        <v>84.846999999999994</v>
      </c>
      <c r="K5">
        <f>_xlfn.XLOOKUP($I$2,Sheet1!$A$2:$A$37,Sheet1!$C$2:$C$37)</f>
        <v>34.851999999999997</v>
      </c>
      <c r="Q5" t="str">
        <f t="shared" si="3"/>
        <v>●</v>
      </c>
      <c r="R5" t="str">
        <f t="shared" si="1"/>
        <v>●</v>
      </c>
      <c r="S5" t="str">
        <f t="shared" si="1"/>
        <v>●</v>
      </c>
      <c r="T5" t="str">
        <f t="shared" si="1"/>
        <v>●</v>
      </c>
      <c r="U5" t="str">
        <f t="shared" si="1"/>
        <v>●</v>
      </c>
      <c r="V5" t="str">
        <f t="shared" si="1"/>
        <v>●</v>
      </c>
      <c r="W5" t="str">
        <f t="shared" si="1"/>
        <v>●</v>
      </c>
      <c r="X5" t="str">
        <f t="shared" si="1"/>
        <v>●</v>
      </c>
      <c r="Y5" t="str">
        <f t="shared" si="1"/>
        <v>●</v>
      </c>
    </row>
    <row r="6" spans="1:25">
      <c r="A6" s="6">
        <v>1994</v>
      </c>
      <c r="B6" s="7">
        <v>86.016000000000005</v>
      </c>
      <c r="C6" s="7">
        <v>30.736000000000001</v>
      </c>
      <c r="D6" s="7">
        <f t="shared" si="0"/>
        <v>55.28</v>
      </c>
      <c r="E6" s="7">
        <v>7.57</v>
      </c>
      <c r="F6" s="7">
        <v>7.66</v>
      </c>
      <c r="G6" s="6">
        <f t="shared" si="2"/>
        <v>-8.9999999999999858E-2</v>
      </c>
      <c r="I6" s="4" t="s">
        <v>14</v>
      </c>
      <c r="J6">
        <f>_xlfn.XLOOKUP($I$2,Sheet1!$A$2:$A$37,Sheet1!$E$2:$E$37)</f>
        <v>7.62</v>
      </c>
      <c r="K6">
        <f>_xlfn.XLOOKUP($I$2,Sheet1!$A$2:$A$37,Sheet1!$F$2:$F$37)</f>
        <v>54.811999999999998</v>
      </c>
      <c r="Q6" t="str">
        <f t="shared" si="3"/>
        <v>●</v>
      </c>
      <c r="R6" t="str">
        <f t="shared" si="1"/>
        <v>●</v>
      </c>
      <c r="S6" t="str">
        <f t="shared" si="1"/>
        <v>●</v>
      </c>
      <c r="T6" t="str">
        <f t="shared" si="1"/>
        <v>●</v>
      </c>
      <c r="U6" t="str">
        <f t="shared" si="1"/>
        <v>●</v>
      </c>
      <c r="V6" t="str">
        <f t="shared" si="1"/>
        <v>●</v>
      </c>
      <c r="W6" t="str">
        <f t="shared" si="1"/>
        <v>●</v>
      </c>
      <c r="X6" t="str">
        <f t="shared" si="1"/>
        <v>●</v>
      </c>
      <c r="Y6" t="str">
        <f t="shared" si="1"/>
        <v>●</v>
      </c>
    </row>
    <row r="7" spans="1:25">
      <c r="A7" s="6">
        <v>1995</v>
      </c>
      <c r="B7" s="7">
        <v>86.143000000000001</v>
      </c>
      <c r="C7" s="7">
        <v>31.331</v>
      </c>
      <c r="D7" s="7">
        <f t="shared" si="0"/>
        <v>54.811999999999998</v>
      </c>
      <c r="E7" s="7">
        <v>7.5449999999999999</v>
      </c>
      <c r="F7" s="7">
        <v>7.6390000000000002</v>
      </c>
      <c r="G7" s="6">
        <f t="shared" si="2"/>
        <v>-9.4000000000000306E-2</v>
      </c>
      <c r="Q7" t="str">
        <f t="shared" si="3"/>
        <v>●</v>
      </c>
      <c r="R7" t="str">
        <f t="shared" si="1"/>
        <v>●</v>
      </c>
      <c r="S7" t="str">
        <f t="shared" si="1"/>
        <v>●</v>
      </c>
      <c r="T7" t="str">
        <f t="shared" si="1"/>
        <v>●</v>
      </c>
      <c r="U7" t="str">
        <f t="shared" si="1"/>
        <v>●</v>
      </c>
      <c r="V7" t="str">
        <f t="shared" si="1"/>
        <v>●</v>
      </c>
      <c r="W7" t="str">
        <f t="shared" si="1"/>
        <v>●</v>
      </c>
      <c r="X7" t="str">
        <f t="shared" si="1"/>
        <v>●</v>
      </c>
      <c r="Y7" t="str">
        <f t="shared" si="1"/>
        <v>●</v>
      </c>
    </row>
    <row r="8" spans="1:25">
      <c r="A8" s="6">
        <v>1996</v>
      </c>
      <c r="B8" s="7">
        <v>86.265000000000001</v>
      </c>
      <c r="C8" s="7">
        <v>31.934000000000001</v>
      </c>
      <c r="D8" s="7">
        <f t="shared" si="0"/>
        <v>54.331000000000003</v>
      </c>
      <c r="E8" s="7">
        <v>7.5110000000000001</v>
      </c>
      <c r="F8" s="7">
        <v>7.6109999999999998</v>
      </c>
      <c r="G8" s="6">
        <f t="shared" si="2"/>
        <v>-9.9999999999999645E-2</v>
      </c>
      <c r="I8" s="4" t="s">
        <v>13</v>
      </c>
      <c r="J8">
        <f>_xlfn.XLOOKUP($I$2,Sheet1!$A$2:$A$37,Sheet1!$D$2:$D$37)</f>
        <v>7.5229999999999997</v>
      </c>
      <c r="Q8" t="str">
        <f t="shared" si="3"/>
        <v>●</v>
      </c>
      <c r="R8" t="str">
        <f t="shared" si="1"/>
        <v>●</v>
      </c>
      <c r="S8" t="str">
        <f t="shared" si="1"/>
        <v>●</v>
      </c>
      <c r="T8" t="str">
        <f t="shared" si="1"/>
        <v>●</v>
      </c>
      <c r="U8" t="str">
        <f t="shared" si="1"/>
        <v>●</v>
      </c>
      <c r="V8" t="str">
        <f t="shared" si="1"/>
        <v>●</v>
      </c>
      <c r="W8" t="str">
        <f t="shared" si="1"/>
        <v>●</v>
      </c>
      <c r="X8" t="str">
        <f t="shared" si="1"/>
        <v>●</v>
      </c>
      <c r="Y8" t="str">
        <f t="shared" si="1"/>
        <v>●</v>
      </c>
    </row>
    <row r="9" spans="1:25">
      <c r="A9" s="6">
        <v>1997</v>
      </c>
      <c r="B9" s="7">
        <v>86.387</v>
      </c>
      <c r="C9" s="7">
        <v>32.542000000000002</v>
      </c>
      <c r="D9" s="7">
        <f t="shared" si="0"/>
        <v>53.844999999999999</v>
      </c>
      <c r="E9" s="7">
        <v>7.5490000000000004</v>
      </c>
      <c r="F9" s="7">
        <v>7.6429999999999998</v>
      </c>
      <c r="G9" s="6">
        <f t="shared" si="2"/>
        <v>-9.3999999999999417E-2</v>
      </c>
      <c r="I9" s="4" t="s">
        <v>16</v>
      </c>
      <c r="J9">
        <f>_xlfn.XLOOKUP($I$2,Sheet1!$A$2:$A$37,Sheet1!$G$2:$G$37)</f>
        <v>7.9234306213178902</v>
      </c>
      <c r="Q9" t="str">
        <f t="shared" si="3"/>
        <v>●</v>
      </c>
      <c r="R9" t="str">
        <f t="shared" si="1"/>
        <v>●</v>
      </c>
      <c r="S9" t="str">
        <f t="shared" si="1"/>
        <v>●</v>
      </c>
      <c r="T9" t="str">
        <f t="shared" si="1"/>
        <v>●</v>
      </c>
      <c r="U9" t="str">
        <f t="shared" si="1"/>
        <v>●</v>
      </c>
      <c r="V9" t="str">
        <f t="shared" si="1"/>
        <v>●</v>
      </c>
      <c r="W9" t="str">
        <f t="shared" si="1"/>
        <v>●</v>
      </c>
      <c r="X9" t="str">
        <f t="shared" si="1"/>
        <v>●</v>
      </c>
      <c r="Y9" t="str">
        <f t="shared" si="1"/>
        <v>●</v>
      </c>
    </row>
    <row r="10" spans="1:25">
      <c r="A10" s="6">
        <v>1998</v>
      </c>
      <c r="B10" s="7">
        <v>86.509</v>
      </c>
      <c r="C10" s="7">
        <v>33.156999999999996</v>
      </c>
      <c r="D10" s="7">
        <f t="shared" si="0"/>
        <v>53.352000000000004</v>
      </c>
      <c r="E10" s="7">
        <v>7.5709999999999997</v>
      </c>
      <c r="F10" s="7">
        <v>7.6609999999999996</v>
      </c>
      <c r="G10" s="6">
        <f t="shared" si="2"/>
        <v>-8.9999999999999858E-2</v>
      </c>
      <c r="Q10" t="str">
        <f t="shared" si="3"/>
        <v>●</v>
      </c>
      <c r="R10" t="str">
        <f t="shared" si="1"/>
        <v>●</v>
      </c>
      <c r="S10" t="str">
        <f t="shared" si="1"/>
        <v>●</v>
      </c>
      <c r="T10" t="str">
        <f t="shared" si="1"/>
        <v>●</v>
      </c>
      <c r="U10" t="str">
        <f t="shared" si="1"/>
        <v>●</v>
      </c>
      <c r="V10" t="str">
        <f t="shared" si="1"/>
        <v>●</v>
      </c>
      <c r="W10" t="str">
        <f t="shared" si="1"/>
        <v>●</v>
      </c>
      <c r="X10" t="str">
        <f t="shared" si="1"/>
        <v>●</v>
      </c>
      <c r="Y10" t="str">
        <f t="shared" si="1"/>
        <v>●</v>
      </c>
    </row>
    <row r="11" spans="1:25">
      <c r="A11" s="6">
        <v>1999</v>
      </c>
      <c r="B11" s="7">
        <v>86.628</v>
      </c>
      <c r="C11" s="7">
        <v>33.774999999999999</v>
      </c>
      <c r="D11" s="7">
        <f t="shared" si="0"/>
        <v>52.853000000000002</v>
      </c>
      <c r="E11" s="7">
        <v>7.5579999999999998</v>
      </c>
      <c r="F11" s="7">
        <v>7.65</v>
      </c>
      <c r="G11" s="6">
        <f t="shared" si="2"/>
        <v>-9.2000000000000526E-2</v>
      </c>
      <c r="I11" t="str">
        <f>"Labour Force Participation — "&amp;I2</f>
        <v>Labour Force Participation — 2005</v>
      </c>
    </row>
    <row r="12" spans="1:25">
      <c r="A12" s="6">
        <v>2000</v>
      </c>
      <c r="B12" s="7">
        <v>86.742000000000004</v>
      </c>
      <c r="C12" s="7">
        <v>34.396999999999998</v>
      </c>
      <c r="D12" s="7">
        <f t="shared" si="0"/>
        <v>52.345000000000006</v>
      </c>
      <c r="E12" s="7">
        <v>7.5640000000000001</v>
      </c>
      <c r="F12" s="7">
        <v>7.6550000000000002</v>
      </c>
      <c r="G12" s="6">
        <f t="shared" si="2"/>
        <v>-9.1000000000000192E-2</v>
      </c>
    </row>
    <row r="13" spans="1:25">
      <c r="A13" s="6">
        <v>2001</v>
      </c>
      <c r="B13" s="7">
        <v>86.369</v>
      </c>
      <c r="C13" s="7">
        <v>34.482999999999997</v>
      </c>
      <c r="D13" s="7">
        <f t="shared" si="0"/>
        <v>51.886000000000003</v>
      </c>
      <c r="E13" s="7">
        <v>7.5869999999999997</v>
      </c>
      <c r="F13" s="7">
        <v>7.6740000000000004</v>
      </c>
      <c r="G13" s="6">
        <f t="shared" si="2"/>
        <v>-8.7000000000000632E-2</v>
      </c>
    </row>
    <row r="14" spans="1:25">
      <c r="A14" s="6">
        <v>2002</v>
      </c>
      <c r="B14" s="7">
        <v>85.992999999999995</v>
      </c>
      <c r="C14" s="7">
        <v>34.57</v>
      </c>
      <c r="D14" s="7">
        <f t="shared" si="0"/>
        <v>51.422999999999995</v>
      </c>
      <c r="E14" s="7">
        <v>7.6589999999999998</v>
      </c>
      <c r="F14" s="7">
        <v>7.7359999999999998</v>
      </c>
      <c r="G14" s="6">
        <f t="shared" si="2"/>
        <v>-7.6999999999999957E-2</v>
      </c>
      <c r="Q14" t="str">
        <f>IF((ROW()-ROW($Q$15))*10+COLUMN()-COLUMN($Q$15)+1&lt;=ROUND(Sheet2!$K$5,0),"●","○")</f>
        <v>●</v>
      </c>
      <c r="R14" t="str">
        <f>IF((ROW()-ROW($Q$15))*10+COLUMN()-COLUMN($Q$15)+1&lt;=ROUND(Sheet2!$K$5,0),"●","○")</f>
        <v>●</v>
      </c>
      <c r="S14" t="str">
        <f>IF((ROW()-ROW($Q$15))*10+COLUMN()-COLUMN($Q$15)+1&lt;=ROUND(Sheet2!$K$5,0),"●","○")</f>
        <v>●</v>
      </c>
      <c r="T14" t="str">
        <f>IF((ROW()-ROW($Q$15))*10+COLUMN()-COLUMN($Q$15)+1&lt;=ROUND(Sheet2!$K$5,0),"●","○")</f>
        <v>●</v>
      </c>
      <c r="U14" t="str">
        <f>IF((ROW()-ROW($Q$15))*10+COLUMN()-COLUMN($Q$15)+1&lt;=ROUND(Sheet2!$K$5,0),"●","○")</f>
        <v>●</v>
      </c>
      <c r="V14" t="str">
        <f>IF((ROW()-ROW($Q$15))*10+COLUMN()-COLUMN($Q$15)+1&lt;=ROUND(Sheet2!$K$5,0),"●","○")</f>
        <v>●</v>
      </c>
      <c r="W14" t="str">
        <f>IF((ROW()-ROW($Q$15))*10+COLUMN()-COLUMN($Q$15)+1&lt;=ROUND(Sheet2!$K$5,0),"●","○")</f>
        <v>●</v>
      </c>
      <c r="X14" t="str">
        <f>IF((ROW()-ROW($Q$15))*10+COLUMN()-COLUMN($Q$15)+1&lt;=ROUND(Sheet2!$K$5,0),"●","○")</f>
        <v>●</v>
      </c>
      <c r="Y14" t="str">
        <f>IF((ROW()-ROW($Q$15))*10+COLUMN()-COLUMN($Q$15)+1&lt;=ROUND(Sheet2!$K$5,0),"●","○")</f>
        <v>●</v>
      </c>
    </row>
    <row r="15" spans="1:25">
      <c r="A15" s="6">
        <v>2003</v>
      </c>
      <c r="B15" s="7">
        <v>85.614000000000004</v>
      </c>
      <c r="C15" s="7">
        <v>34.659999999999997</v>
      </c>
      <c r="D15" s="7">
        <f t="shared" si="0"/>
        <v>50.954000000000008</v>
      </c>
      <c r="E15" s="7">
        <v>7.61</v>
      </c>
      <c r="F15" s="7">
        <v>7.694</v>
      </c>
      <c r="G15" s="6">
        <f t="shared" si="2"/>
        <v>-8.3999999999999631E-2</v>
      </c>
      <c r="Q15" t="str">
        <f>IF((ROW()-ROW($Q$15))*10+COLUMN()-COLUMN($Q$15)+1&lt;=ROUND(Sheet2!$K$5,0),"●","○")</f>
        <v>●</v>
      </c>
      <c r="R15" t="str">
        <f>IF((ROW()-ROW($Q$15))*10+COLUMN()-COLUMN($Q$15)+1&lt;=ROUND(Sheet2!$K$5,0),"●","○")</f>
        <v>●</v>
      </c>
      <c r="S15" t="str">
        <f>IF((ROW()-ROW($Q$15))*10+COLUMN()-COLUMN($Q$15)+1&lt;=ROUND(Sheet2!$K$5,0),"●","○")</f>
        <v>●</v>
      </c>
      <c r="T15" t="str">
        <f>IF((ROW()-ROW($Q$15))*10+COLUMN()-COLUMN($Q$15)+1&lt;=ROUND(Sheet2!$K$5,0),"●","○")</f>
        <v>●</v>
      </c>
      <c r="U15" t="str">
        <f>IF((ROW()-ROW($Q$15))*10+COLUMN()-COLUMN($Q$15)+1&lt;=ROUND(Sheet2!$K$5,0),"●","○")</f>
        <v>●</v>
      </c>
      <c r="V15" t="str">
        <f>IF((ROW()-ROW($Q$15))*10+COLUMN()-COLUMN($Q$15)+1&lt;=ROUND(Sheet2!$K$5,0),"●","○")</f>
        <v>●</v>
      </c>
      <c r="W15" t="str">
        <f>IF((ROW()-ROW($Q$15))*10+COLUMN()-COLUMN($Q$15)+1&lt;=ROUND(Sheet2!$K$5,0),"●","○")</f>
        <v>●</v>
      </c>
      <c r="X15" t="str">
        <f>IF((ROW()-ROW($Q$15))*10+COLUMN()-COLUMN($Q$15)+1&lt;=ROUND(Sheet2!$K$5,0),"●","○")</f>
        <v>●</v>
      </c>
      <c r="Y15" t="str">
        <f>IF((ROW()-ROW($Q$15))*10+COLUMN()-COLUMN($Q$15)+1&lt;=ROUND(Sheet2!$K$5,0),"●","○")</f>
        <v>●</v>
      </c>
    </row>
    <row r="16" spans="1:25">
      <c r="A16" s="6">
        <v>2004</v>
      </c>
      <c r="B16" s="7">
        <v>85.228999999999999</v>
      </c>
      <c r="C16" s="7">
        <v>34.753</v>
      </c>
      <c r="D16" s="7">
        <f t="shared" si="0"/>
        <v>50.475999999999999</v>
      </c>
      <c r="E16" s="7">
        <v>7.5730000000000004</v>
      </c>
      <c r="F16" s="7">
        <v>7.6630000000000003</v>
      </c>
      <c r="G16" s="6">
        <f t="shared" si="2"/>
        <v>-8.9999999999999858E-2</v>
      </c>
      <c r="Q16" t="str">
        <f>IF((ROW()-ROW($Q$15))*10+COLUMN()-COLUMN($Q$15)+1&lt;=ROUND(Sheet2!$K$5,0),"●","○")</f>
        <v>●</v>
      </c>
      <c r="R16" t="str">
        <f>IF((ROW()-ROW($Q$15))*10+COLUMN()-COLUMN($Q$15)+1&lt;=ROUND(Sheet2!$K$5,0),"●","○")</f>
        <v>●</v>
      </c>
      <c r="S16" t="str">
        <f>IF((ROW()-ROW($Q$15))*10+COLUMN()-COLUMN($Q$15)+1&lt;=ROUND(Sheet2!$K$5,0),"●","○")</f>
        <v>●</v>
      </c>
      <c r="T16" t="str">
        <f>IF((ROW()-ROW($Q$15))*10+COLUMN()-COLUMN($Q$15)+1&lt;=ROUND(Sheet2!$K$5,0),"●","○")</f>
        <v>●</v>
      </c>
      <c r="U16" t="str">
        <f>IF((ROW()-ROW($Q$15))*10+COLUMN()-COLUMN($Q$15)+1&lt;=ROUND(Sheet2!$K$5,0),"●","○")</f>
        <v>●</v>
      </c>
      <c r="V16" t="str">
        <f>IF((ROW()-ROW($Q$15))*10+COLUMN()-COLUMN($Q$15)+1&lt;=ROUND(Sheet2!$K$5,0),"●","○")</f>
        <v>●</v>
      </c>
      <c r="W16" t="str">
        <f>IF((ROW()-ROW($Q$15))*10+COLUMN()-COLUMN($Q$15)+1&lt;=ROUND(Sheet2!$K$5,0),"●","○")</f>
        <v>●</v>
      </c>
      <c r="X16" t="str">
        <f>IF((ROW()-ROW($Q$15))*10+COLUMN()-COLUMN($Q$15)+1&lt;=ROUND(Sheet2!$K$5,0),"●","○")</f>
        <v>●</v>
      </c>
      <c r="Y16" t="str">
        <f>IF((ROW()-ROW($Q$15))*10+COLUMN()-COLUMN($Q$15)+1&lt;=ROUND(Sheet2!$K$5,0),"●","○")</f>
        <v>●</v>
      </c>
    </row>
    <row r="17" spans="1:25">
      <c r="A17" s="6">
        <v>2005</v>
      </c>
      <c r="B17" s="7">
        <v>84.846999999999994</v>
      </c>
      <c r="C17" s="7">
        <v>34.851999999999997</v>
      </c>
      <c r="D17" s="7">
        <f t="shared" si="0"/>
        <v>49.994999999999997</v>
      </c>
      <c r="E17" s="7">
        <v>7.5229999999999997</v>
      </c>
      <c r="F17" s="7">
        <v>7.62</v>
      </c>
      <c r="G17" s="6">
        <f t="shared" si="2"/>
        <v>-9.7000000000000419E-2</v>
      </c>
      <c r="Q17" t="str">
        <f>IF((ROW()-ROW($Q$15))*10+COLUMN()-COLUMN($Q$15)+1&lt;=ROUND(Sheet2!$K$5,0),"●","○")</f>
        <v>●</v>
      </c>
      <c r="R17" t="str">
        <f>IF((ROW()-ROW($Q$15))*10+COLUMN()-COLUMN($Q$15)+1&lt;=ROUND(Sheet2!$K$5,0),"●","○")</f>
        <v>●</v>
      </c>
      <c r="S17" t="str">
        <f>IF((ROW()-ROW($Q$15))*10+COLUMN()-COLUMN($Q$15)+1&lt;=ROUND(Sheet2!$K$5,0),"●","○")</f>
        <v>●</v>
      </c>
      <c r="T17" t="str">
        <f>IF((ROW()-ROW($Q$15))*10+COLUMN()-COLUMN($Q$15)+1&lt;=ROUND(Sheet2!$K$5,0),"●","○")</f>
        <v>●</v>
      </c>
      <c r="U17" t="str">
        <f>IF((ROW()-ROW($Q$15))*10+COLUMN()-COLUMN($Q$15)+1&lt;=ROUND(Sheet2!$K$5,0),"●","○")</f>
        <v>●</v>
      </c>
      <c r="V17" t="str">
        <f>IF((ROW()-ROW($Q$15))*10+COLUMN()-COLUMN($Q$15)+1&lt;=ROUND(Sheet2!$K$5,0),"●","○")</f>
        <v>●</v>
      </c>
      <c r="W17" t="str">
        <f>IF((ROW()-ROW($Q$15))*10+COLUMN()-COLUMN($Q$15)+1&lt;=ROUND(Sheet2!$K$5,0),"●","○")</f>
        <v>●</v>
      </c>
      <c r="X17" t="str">
        <f>IF((ROW()-ROW($Q$15))*10+COLUMN()-COLUMN($Q$15)+1&lt;=ROUND(Sheet2!$K$5,0),"●","○")</f>
        <v>●</v>
      </c>
      <c r="Y17" t="str">
        <f>IF((ROW()-ROW($Q$15))*10+COLUMN()-COLUMN($Q$15)+1&lt;=ROUND(Sheet2!$K$5,0),"●","○")</f>
        <v>●</v>
      </c>
    </row>
    <row r="18" spans="1:25">
      <c r="A18" s="6">
        <v>2006</v>
      </c>
      <c r="B18" s="7">
        <v>84.293999999999997</v>
      </c>
      <c r="C18" s="7">
        <v>33.499000000000002</v>
      </c>
      <c r="D18" s="7">
        <f t="shared" si="0"/>
        <v>50.794999999999995</v>
      </c>
      <c r="E18" s="7">
        <v>7.5259999999999998</v>
      </c>
      <c r="F18" s="7">
        <v>7.6230000000000002</v>
      </c>
      <c r="G18" s="6">
        <f t="shared" si="2"/>
        <v>-9.7000000000000419E-2</v>
      </c>
      <c r="Q18" t="str">
        <f>IF((ROW()-ROW($Q$15))*10+COLUMN()-COLUMN($Q$15)+1&lt;=ROUND(Sheet2!$K$5,0),"●","○")</f>
        <v>●</v>
      </c>
      <c r="R18" t="str">
        <f>IF((ROW()-ROW($Q$15))*10+COLUMN()-COLUMN($Q$15)+1&lt;=ROUND(Sheet2!$K$5,0),"●","○")</f>
        <v>●</v>
      </c>
      <c r="S18" t="str">
        <f>IF((ROW()-ROW($Q$15))*10+COLUMN()-COLUMN($Q$15)+1&lt;=ROUND(Sheet2!$K$5,0),"●","○")</f>
        <v>●</v>
      </c>
      <c r="T18" t="str">
        <f>IF((ROW()-ROW($Q$15))*10+COLUMN()-COLUMN($Q$15)+1&lt;=ROUND(Sheet2!$K$5,0),"●","○")</f>
        <v>●</v>
      </c>
      <c r="U18" t="str">
        <f>IF((ROW()-ROW($Q$15))*10+COLUMN()-COLUMN($Q$15)+1&lt;=ROUND(Sheet2!$K$5,0),"●","○")</f>
        <v>●</v>
      </c>
      <c r="V18" t="str">
        <f>IF((ROW()-ROW($Q$15))*10+COLUMN()-COLUMN($Q$15)+1&lt;=ROUND(Sheet2!$K$5,0),"●","○")</f>
        <v>○</v>
      </c>
      <c r="W18" t="str">
        <f>IF((ROW()-ROW($Q$15))*10+COLUMN()-COLUMN($Q$15)+1&lt;=ROUND(Sheet2!$K$5,0),"●","○")</f>
        <v>○</v>
      </c>
      <c r="X18" t="str">
        <f>IF((ROW()-ROW($Q$15))*10+COLUMN()-COLUMN($Q$15)+1&lt;=ROUND(Sheet2!$K$5,0),"●","○")</f>
        <v>○</v>
      </c>
      <c r="Y18" t="str">
        <f>IF((ROW()-ROW($Q$15))*10+COLUMN()-COLUMN($Q$15)+1&lt;=ROUND(Sheet2!$K$5,0),"●","○")</f>
        <v>○</v>
      </c>
    </row>
    <row r="19" spans="1:25">
      <c r="A19" s="6">
        <v>2007</v>
      </c>
      <c r="B19" s="7">
        <v>83.744</v>
      </c>
      <c r="C19" s="7">
        <v>32.179000000000002</v>
      </c>
      <c r="D19" s="7">
        <f t="shared" si="0"/>
        <v>51.564999999999998</v>
      </c>
      <c r="E19" s="7">
        <v>7.5359999999999996</v>
      </c>
      <c r="F19" s="7">
        <v>7.6310000000000002</v>
      </c>
      <c r="G19" s="6">
        <f t="shared" si="2"/>
        <v>-9.5000000000000639E-2</v>
      </c>
      <c r="Q19" t="str">
        <f>IF((ROW()-ROW($Q$15))*10+COLUMN()-COLUMN($Q$15)+1&lt;=ROUND(Sheet2!$K$5,0),"●","○")</f>
        <v>○</v>
      </c>
      <c r="R19" t="str">
        <f>IF((ROW()-ROW($Q$15))*10+COLUMN()-COLUMN($Q$15)+1&lt;=ROUND(Sheet2!$K$5,0),"●","○")</f>
        <v>○</v>
      </c>
      <c r="S19" t="str">
        <f>IF((ROW()-ROW($Q$15))*10+COLUMN()-COLUMN($Q$15)+1&lt;=ROUND(Sheet2!$K$5,0),"●","○")</f>
        <v>○</v>
      </c>
      <c r="T19" t="str">
        <f>IF((ROW()-ROW($Q$15))*10+COLUMN()-COLUMN($Q$15)+1&lt;=ROUND(Sheet2!$K$5,0),"●","○")</f>
        <v>○</v>
      </c>
      <c r="U19" t="str">
        <f>IF((ROW()-ROW($Q$15))*10+COLUMN()-COLUMN($Q$15)+1&lt;=ROUND(Sheet2!$K$5,0),"●","○")</f>
        <v>○</v>
      </c>
      <c r="V19" t="str">
        <f>IF((ROW()-ROW($Q$15))*10+COLUMN()-COLUMN($Q$15)+1&lt;=ROUND(Sheet2!$K$5,0),"●","○")</f>
        <v>○</v>
      </c>
      <c r="W19" t="str">
        <f>IF((ROW()-ROW($Q$15))*10+COLUMN()-COLUMN($Q$15)+1&lt;=ROUND(Sheet2!$K$5,0),"●","○")</f>
        <v>○</v>
      </c>
      <c r="X19" t="str">
        <f>IF((ROW()-ROW($Q$15))*10+COLUMN()-COLUMN($Q$15)+1&lt;=ROUND(Sheet2!$K$5,0),"●","○")</f>
        <v>○</v>
      </c>
      <c r="Y19" t="str">
        <f>IF((ROW()-ROW($Q$15))*10+COLUMN()-COLUMN($Q$15)+1&lt;=ROUND(Sheet2!$K$5,0),"●","○")</f>
        <v>○</v>
      </c>
    </row>
    <row r="20" spans="1:25">
      <c r="A20" s="6">
        <v>2008</v>
      </c>
      <c r="B20" s="7">
        <v>83.203000000000003</v>
      </c>
      <c r="C20" s="7">
        <v>30.891999999999999</v>
      </c>
      <c r="D20" s="7">
        <f t="shared" si="0"/>
        <v>52.311000000000007</v>
      </c>
      <c r="E20" s="7">
        <v>7.6059999999999999</v>
      </c>
      <c r="F20" s="7">
        <v>7.6909999999999998</v>
      </c>
      <c r="G20" s="6">
        <f t="shared" si="2"/>
        <v>-8.4999999999999964E-2</v>
      </c>
      <c r="Q20" t="str">
        <f>IF((ROW()-ROW($Q$15))*10+COLUMN()-COLUMN($Q$15)+1&lt;=ROUND(Sheet2!$K$5,0),"●","○")</f>
        <v>○</v>
      </c>
      <c r="R20" t="str">
        <f>IF((ROW()-ROW($Q$15))*10+COLUMN()-COLUMN($Q$15)+1&lt;=ROUND(Sheet2!$K$5,0),"●","○")</f>
        <v>○</v>
      </c>
      <c r="S20" t="str">
        <f>IF((ROW()-ROW($Q$15))*10+COLUMN()-COLUMN($Q$15)+1&lt;=ROUND(Sheet2!$K$5,0),"●","○")</f>
        <v>○</v>
      </c>
      <c r="T20" t="str">
        <f>IF((ROW()-ROW($Q$15))*10+COLUMN()-COLUMN($Q$15)+1&lt;=ROUND(Sheet2!$K$5,0),"●","○")</f>
        <v>○</v>
      </c>
      <c r="U20" t="str">
        <f>IF((ROW()-ROW($Q$15))*10+COLUMN()-COLUMN($Q$15)+1&lt;=ROUND(Sheet2!$K$5,0),"●","○")</f>
        <v>○</v>
      </c>
      <c r="V20" t="str">
        <f>IF((ROW()-ROW($Q$15))*10+COLUMN()-COLUMN($Q$15)+1&lt;=ROUND(Sheet2!$K$5,0),"●","○")</f>
        <v>○</v>
      </c>
      <c r="W20" t="str">
        <f>IF((ROW()-ROW($Q$15))*10+COLUMN()-COLUMN($Q$15)+1&lt;=ROUND(Sheet2!$K$5,0),"●","○")</f>
        <v>○</v>
      </c>
      <c r="X20" t="str">
        <f>IF((ROW()-ROW($Q$15))*10+COLUMN()-COLUMN($Q$15)+1&lt;=ROUND(Sheet2!$K$5,0),"●","○")</f>
        <v>○</v>
      </c>
      <c r="Y20" t="str">
        <f>IF((ROW()-ROW($Q$15))*10+COLUMN()-COLUMN($Q$15)+1&lt;=ROUND(Sheet2!$K$5,0),"●","○")</f>
        <v>○</v>
      </c>
    </row>
    <row r="21" spans="1:25">
      <c r="A21" s="6">
        <v>2009</v>
      </c>
      <c r="B21" s="7">
        <v>82.674000000000007</v>
      </c>
      <c r="C21" s="7">
        <v>29.640999999999998</v>
      </c>
      <c r="D21" s="7">
        <f t="shared" si="0"/>
        <v>53.033000000000008</v>
      </c>
      <c r="E21" s="7">
        <v>7.6150000000000002</v>
      </c>
      <c r="F21" s="7">
        <v>7.6980000000000004</v>
      </c>
      <c r="G21" s="6">
        <f t="shared" si="2"/>
        <v>-8.3000000000000185E-2</v>
      </c>
      <c r="Q21" t="str">
        <f>IF((ROW()-ROW($Q$15))*10+COLUMN()-COLUMN($Q$15)+1&lt;=ROUND(Sheet2!$K$5,0),"●","○")</f>
        <v>○</v>
      </c>
      <c r="R21" t="str">
        <f>IF((ROW()-ROW($Q$15))*10+COLUMN()-COLUMN($Q$15)+1&lt;=ROUND(Sheet2!$K$5,0),"●","○")</f>
        <v>○</v>
      </c>
      <c r="S21" t="str">
        <f>IF((ROW()-ROW($Q$15))*10+COLUMN()-COLUMN($Q$15)+1&lt;=ROUND(Sheet2!$K$5,0),"●","○")</f>
        <v>○</v>
      </c>
      <c r="T21" t="str">
        <f>IF((ROW()-ROW($Q$15))*10+COLUMN()-COLUMN($Q$15)+1&lt;=ROUND(Sheet2!$K$5,0),"●","○")</f>
        <v>○</v>
      </c>
      <c r="U21" t="str">
        <f>IF((ROW()-ROW($Q$15))*10+COLUMN()-COLUMN($Q$15)+1&lt;=ROUND(Sheet2!$K$5,0),"●","○")</f>
        <v>○</v>
      </c>
      <c r="V21" t="str">
        <f>IF((ROW()-ROW($Q$15))*10+COLUMN()-COLUMN($Q$15)+1&lt;=ROUND(Sheet2!$K$5,0),"●","○")</f>
        <v>○</v>
      </c>
      <c r="W21" t="str">
        <f>IF((ROW()-ROW($Q$15))*10+COLUMN()-COLUMN($Q$15)+1&lt;=ROUND(Sheet2!$K$5,0),"●","○")</f>
        <v>○</v>
      </c>
      <c r="X21" t="str">
        <f>IF((ROW()-ROW($Q$15))*10+COLUMN()-COLUMN($Q$15)+1&lt;=ROUND(Sheet2!$K$5,0),"●","○")</f>
        <v>○</v>
      </c>
      <c r="Y21" t="str">
        <f>IF((ROW()-ROW($Q$15))*10+COLUMN()-COLUMN($Q$15)+1&lt;=ROUND(Sheet2!$K$5,0),"●","○")</f>
        <v>○</v>
      </c>
    </row>
    <row r="22" spans="1:25">
      <c r="A22" s="6">
        <v>2010</v>
      </c>
      <c r="B22" s="7">
        <v>82.156999999999996</v>
      </c>
      <c r="C22" s="7">
        <v>28.425000000000001</v>
      </c>
      <c r="D22" s="7">
        <f t="shared" si="0"/>
        <v>53.731999999999999</v>
      </c>
      <c r="E22" s="7">
        <v>7.61</v>
      </c>
      <c r="F22" s="7">
        <v>7.694</v>
      </c>
      <c r="G22" s="6">
        <f t="shared" si="2"/>
        <v>-8.3999999999999631E-2</v>
      </c>
      <c r="Q22" t="str">
        <f>IF((ROW()-ROW($Q$15))*10+COLUMN()-COLUMN($Q$15)+1&lt;=ROUND(Sheet2!$K$5,0),"●","○")</f>
        <v>○</v>
      </c>
      <c r="R22" t="str">
        <f>IF((ROW()-ROW($Q$15))*10+COLUMN()-COLUMN($Q$15)+1&lt;=ROUND(Sheet2!$K$5,0),"●","○")</f>
        <v>○</v>
      </c>
      <c r="S22" t="str">
        <f>IF((ROW()-ROW($Q$15))*10+COLUMN()-COLUMN($Q$15)+1&lt;=ROUND(Sheet2!$K$5,0),"●","○")</f>
        <v>○</v>
      </c>
      <c r="T22" t="str">
        <f>IF((ROW()-ROW($Q$15))*10+COLUMN()-COLUMN($Q$15)+1&lt;=ROUND(Sheet2!$K$5,0),"●","○")</f>
        <v>○</v>
      </c>
      <c r="U22" t="str">
        <f>IF((ROW()-ROW($Q$15))*10+COLUMN()-COLUMN($Q$15)+1&lt;=ROUND(Sheet2!$K$5,0),"●","○")</f>
        <v>○</v>
      </c>
      <c r="V22" t="str">
        <f>IF((ROW()-ROW($Q$15))*10+COLUMN()-COLUMN($Q$15)+1&lt;=ROUND(Sheet2!$K$5,0),"●","○")</f>
        <v>○</v>
      </c>
      <c r="W22" t="str">
        <f>IF((ROW()-ROW($Q$15))*10+COLUMN()-COLUMN($Q$15)+1&lt;=ROUND(Sheet2!$K$5,0),"●","○")</f>
        <v>○</v>
      </c>
      <c r="X22" t="str">
        <f>IF((ROW()-ROW($Q$15))*10+COLUMN()-COLUMN($Q$15)+1&lt;=ROUND(Sheet2!$K$5,0),"●","○")</f>
        <v>○</v>
      </c>
      <c r="Y22" t="str">
        <f>IF((ROW()-ROW($Q$15))*10+COLUMN()-COLUMN($Q$15)+1&lt;=ROUND(Sheet2!$K$5,0),"●","○")</f>
        <v>○</v>
      </c>
    </row>
    <row r="23" spans="1:25">
      <c r="A23" s="6">
        <v>2011</v>
      </c>
      <c r="B23" s="7">
        <v>81.731999999999999</v>
      </c>
      <c r="C23" s="7">
        <v>27.582999999999998</v>
      </c>
      <c r="D23" s="7">
        <f t="shared" si="0"/>
        <v>54.149000000000001</v>
      </c>
      <c r="E23" s="7">
        <v>7.5869999999999997</v>
      </c>
      <c r="F23" s="7">
        <v>7.6749999999999998</v>
      </c>
      <c r="G23" s="6">
        <f t="shared" si="2"/>
        <v>-8.8000000000000078E-2</v>
      </c>
      <c r="Q23" t="str">
        <f>IF((ROW()-ROW($Q$15))*10+COLUMN()-COLUMN($Q$15)+1&lt;=ROUND(Sheet2!$K$5,0),"●","○")</f>
        <v>○</v>
      </c>
      <c r="R23" t="str">
        <f>IF((ROW()-ROW($Q$15))*10+COLUMN()-COLUMN($Q$15)+1&lt;=ROUND(Sheet2!$K$5,0),"●","○")</f>
        <v>○</v>
      </c>
      <c r="S23" t="str">
        <f>IF((ROW()-ROW($Q$15))*10+COLUMN()-COLUMN($Q$15)+1&lt;=ROUND(Sheet2!$K$5,0),"●","○")</f>
        <v>○</v>
      </c>
      <c r="T23" t="str">
        <f>IF((ROW()-ROW($Q$15))*10+COLUMN()-COLUMN($Q$15)+1&lt;=ROUND(Sheet2!$K$5,0),"●","○")</f>
        <v>○</v>
      </c>
      <c r="U23" t="str">
        <f>IF((ROW()-ROW($Q$15))*10+COLUMN()-COLUMN($Q$15)+1&lt;=ROUND(Sheet2!$K$5,0),"●","○")</f>
        <v>○</v>
      </c>
      <c r="V23" t="str">
        <f>IF((ROW()-ROW($Q$15))*10+COLUMN()-COLUMN($Q$15)+1&lt;=ROUND(Sheet2!$K$5,0),"●","○")</f>
        <v>○</v>
      </c>
      <c r="W23" t="str">
        <f>IF((ROW()-ROW($Q$15))*10+COLUMN()-COLUMN($Q$15)+1&lt;=ROUND(Sheet2!$K$5,0),"●","○")</f>
        <v>○</v>
      </c>
      <c r="X23" t="str">
        <f>IF((ROW()-ROW($Q$15))*10+COLUMN()-COLUMN($Q$15)+1&lt;=ROUND(Sheet2!$K$5,0),"●","○")</f>
        <v>○</v>
      </c>
      <c r="Y23" t="str">
        <f>IF((ROW()-ROW($Q$15))*10+COLUMN()-COLUMN($Q$15)+1&lt;=ROUND(Sheet2!$K$5,0),"●","○")</f>
        <v>○</v>
      </c>
    </row>
    <row r="24" spans="1:25">
      <c r="A24" s="6">
        <v>2012</v>
      </c>
      <c r="B24" s="7">
        <v>81.316000000000003</v>
      </c>
      <c r="C24" s="7">
        <v>26.763999999999999</v>
      </c>
      <c r="D24" s="7">
        <f t="shared" si="0"/>
        <v>54.552000000000007</v>
      </c>
      <c r="E24" s="7">
        <v>7.625</v>
      </c>
      <c r="F24" s="7">
        <v>7.7069999999999999</v>
      </c>
      <c r="G24" s="6">
        <f t="shared" si="2"/>
        <v>-8.1999999999999851E-2</v>
      </c>
      <c r="Q24" t="str">
        <f>IF((ROW()-ROW($Q$15))*10+COLUMN()-COLUMN($Q$15)+1&lt;=ROUND(Sheet2!$K$5,0),"●","○")</f>
        <v>○</v>
      </c>
      <c r="R24" t="str">
        <f>IF((ROW()-ROW($Q$15))*10+COLUMN()-COLUMN($Q$15)+1&lt;=ROUND(Sheet2!$K$5,0),"●","○")</f>
        <v>○</v>
      </c>
      <c r="S24" t="str">
        <f>IF((ROW()-ROW($Q$15))*10+COLUMN()-COLUMN($Q$15)+1&lt;=ROUND(Sheet2!$K$5,0),"●","○")</f>
        <v>○</v>
      </c>
      <c r="T24" t="str">
        <f>IF((ROW()-ROW($Q$15))*10+COLUMN()-COLUMN($Q$15)+1&lt;=ROUND(Sheet2!$K$5,0),"●","○")</f>
        <v>○</v>
      </c>
      <c r="U24" t="str">
        <f>IF((ROW()-ROW($Q$15))*10+COLUMN()-COLUMN($Q$15)+1&lt;=ROUND(Sheet2!$K$5,0),"●","○")</f>
        <v>○</v>
      </c>
      <c r="V24" t="str">
        <f>IF((ROW()-ROW($Q$15))*10+COLUMN()-COLUMN($Q$15)+1&lt;=ROUND(Sheet2!$K$5,0),"●","○")</f>
        <v>○</v>
      </c>
      <c r="W24" t="str">
        <f>IF((ROW()-ROW($Q$15))*10+COLUMN()-COLUMN($Q$15)+1&lt;=ROUND(Sheet2!$K$5,0),"●","○")</f>
        <v>○</v>
      </c>
      <c r="X24" t="str">
        <f>IF((ROW()-ROW($Q$15))*10+COLUMN()-COLUMN($Q$15)+1&lt;=ROUND(Sheet2!$K$5,0),"●","○")</f>
        <v>○</v>
      </c>
      <c r="Y24" t="str">
        <f>IF((ROW()-ROW($Q$15))*10+COLUMN()-COLUMN($Q$15)+1&lt;=ROUND(Sheet2!$K$5,0),"●","○")</f>
        <v>○</v>
      </c>
    </row>
    <row r="25" spans="1:25">
      <c r="A25" s="6">
        <v>2013</v>
      </c>
      <c r="B25" s="7">
        <v>81.209000000000003</v>
      </c>
      <c r="C25" s="7">
        <v>26.669</v>
      </c>
      <c r="D25" s="7">
        <f t="shared" si="0"/>
        <v>54.540000000000006</v>
      </c>
      <c r="E25" s="7">
        <v>7.6589999999999998</v>
      </c>
      <c r="F25" s="7">
        <v>7.7359999999999998</v>
      </c>
      <c r="G25" s="6">
        <f t="shared" si="2"/>
        <v>-7.6999999999999957E-2</v>
      </c>
    </row>
    <row r="26" spans="1:25">
      <c r="A26" s="6">
        <v>2014</v>
      </c>
      <c r="B26" s="7">
        <v>81.058000000000007</v>
      </c>
      <c r="C26" s="7">
        <v>26.606999999999999</v>
      </c>
      <c r="D26" s="7">
        <f t="shared" si="0"/>
        <v>54.451000000000008</v>
      </c>
      <c r="E26" s="7">
        <v>7.6360000000000001</v>
      </c>
      <c r="F26" s="7">
        <v>7.7169999999999996</v>
      </c>
      <c r="G26" s="6">
        <f t="shared" si="2"/>
        <v>-8.0999999999999517E-2</v>
      </c>
    </row>
    <row r="27" spans="1:25">
      <c r="A27" s="6">
        <v>2015</v>
      </c>
      <c r="B27" s="7">
        <v>80.852999999999994</v>
      </c>
      <c r="C27" s="7">
        <v>26.582000000000001</v>
      </c>
      <c r="D27" s="7">
        <f t="shared" si="0"/>
        <v>54.270999999999994</v>
      </c>
      <c r="E27" s="7">
        <v>7.609</v>
      </c>
      <c r="F27" s="7">
        <v>7.6929999999999996</v>
      </c>
      <c r="G27" s="6">
        <f t="shared" si="2"/>
        <v>-8.3999999999999631E-2</v>
      </c>
    </row>
    <row r="28" spans="1:25">
      <c r="A28" s="6">
        <v>2016</v>
      </c>
      <c r="B28" s="7">
        <v>80.628</v>
      </c>
      <c r="C28" s="7">
        <v>26.574999999999999</v>
      </c>
      <c r="D28" s="7">
        <f t="shared" si="0"/>
        <v>54.052999999999997</v>
      </c>
      <c r="E28" s="7">
        <v>7.59</v>
      </c>
      <c r="F28" s="7">
        <v>7.6779999999999999</v>
      </c>
      <c r="G28" s="6">
        <f t="shared" si="2"/>
        <v>-8.8000000000000078E-2</v>
      </c>
    </row>
    <row r="29" spans="1:25">
      <c r="A29" s="6">
        <v>2017</v>
      </c>
      <c r="B29" s="7">
        <v>80.393000000000001</v>
      </c>
      <c r="C29" s="7">
        <v>26.577999999999999</v>
      </c>
      <c r="D29" s="7">
        <f t="shared" si="0"/>
        <v>53.814999999999998</v>
      </c>
      <c r="E29" s="7">
        <v>7.6050000000000004</v>
      </c>
      <c r="F29" s="7">
        <v>7.69</v>
      </c>
      <c r="G29" s="6">
        <f t="shared" si="2"/>
        <v>-8.4999999999999964E-2</v>
      </c>
    </row>
    <row r="30" spans="1:25">
      <c r="A30" s="6">
        <v>2018</v>
      </c>
      <c r="B30" s="7">
        <v>80.158000000000001</v>
      </c>
      <c r="C30" s="7">
        <v>26.568000000000001</v>
      </c>
      <c r="D30" s="7">
        <f t="shared" si="0"/>
        <v>53.59</v>
      </c>
      <c r="E30" s="7">
        <v>7.6319999999999997</v>
      </c>
      <c r="F30" s="7">
        <v>7.7130000000000001</v>
      </c>
      <c r="G30" s="6">
        <f t="shared" si="2"/>
        <v>-8.1000000000000405E-2</v>
      </c>
    </row>
    <row r="31" spans="1:25">
      <c r="A31" s="6">
        <v>2019</v>
      </c>
      <c r="B31" s="7">
        <v>79.927999999999997</v>
      </c>
      <c r="C31" s="7">
        <v>26.539000000000001</v>
      </c>
      <c r="D31" s="7">
        <f t="shared" ref="D31:D37" si="4">B31-C31</f>
        <v>53.388999999999996</v>
      </c>
      <c r="E31" s="7">
        <v>6.6529999999999996</v>
      </c>
      <c r="F31" s="7">
        <v>6.0730000000000004</v>
      </c>
      <c r="G31" s="6">
        <f t="shared" si="2"/>
        <v>0.57999999999999918</v>
      </c>
    </row>
    <row r="32" spans="1:25">
      <c r="A32" s="6">
        <v>2020</v>
      </c>
      <c r="B32" s="7">
        <v>79.12</v>
      </c>
      <c r="C32" s="7">
        <v>25.998000000000001</v>
      </c>
      <c r="D32" s="7">
        <f t="shared" si="4"/>
        <v>53.122</v>
      </c>
      <c r="E32" s="7">
        <v>8.2189999999999994</v>
      </c>
      <c r="F32" s="7">
        <v>6.7489999999999997</v>
      </c>
      <c r="G32" s="6">
        <f t="shared" si="2"/>
        <v>1.4699999999999998</v>
      </c>
    </row>
    <row r="33" spans="1:7">
      <c r="A33" s="6">
        <v>2021</v>
      </c>
      <c r="B33" s="7">
        <v>79.510999999999996</v>
      </c>
      <c r="C33" s="7">
        <v>27.724</v>
      </c>
      <c r="D33" s="7">
        <f t="shared" si="4"/>
        <v>51.786999999999992</v>
      </c>
      <c r="E33" s="7">
        <v>6.72</v>
      </c>
      <c r="F33" s="7">
        <v>5.3940000000000001</v>
      </c>
      <c r="G33" s="6">
        <f t="shared" si="2"/>
        <v>1.3259999999999996</v>
      </c>
    </row>
    <row r="34" spans="1:7">
      <c r="A34" s="6">
        <v>2022</v>
      </c>
      <c r="B34" s="7">
        <v>80.153999999999996</v>
      </c>
      <c r="C34" s="7">
        <v>29.347999999999999</v>
      </c>
      <c r="D34" s="7">
        <f t="shared" si="4"/>
        <v>50.805999999999997</v>
      </c>
      <c r="E34" s="7">
        <v>4.907</v>
      </c>
      <c r="F34" s="7">
        <v>4.5869999999999997</v>
      </c>
      <c r="G34" s="6">
        <f t="shared" si="2"/>
        <v>0.32000000000000028</v>
      </c>
    </row>
    <row r="35" spans="1:7">
      <c r="A35" s="6">
        <v>2023</v>
      </c>
      <c r="B35" s="7">
        <v>80.903000000000006</v>
      </c>
      <c r="C35" s="7">
        <v>30.984000000000002</v>
      </c>
      <c r="D35" s="7">
        <f t="shared" si="4"/>
        <v>49.919000000000004</v>
      </c>
      <c r="E35" s="7">
        <v>4.2160000000000002</v>
      </c>
      <c r="F35" s="7">
        <v>4.0570000000000004</v>
      </c>
      <c r="G35" s="6">
        <f t="shared" si="2"/>
        <v>0.15899999999999981</v>
      </c>
    </row>
    <row r="36" spans="1:7">
      <c r="A36" s="6">
        <v>2024</v>
      </c>
      <c r="B36" s="7">
        <v>81.489000000000004</v>
      </c>
      <c r="C36" s="7">
        <v>32.414999999999999</v>
      </c>
      <c r="D36" s="7">
        <f t="shared" si="4"/>
        <v>49.074000000000005</v>
      </c>
      <c r="E36" s="7">
        <v>4.2069999999999999</v>
      </c>
      <c r="F36" s="7">
        <v>4.0880000000000001</v>
      </c>
      <c r="G36" s="6">
        <f t="shared" si="2"/>
        <v>0.11899999999999977</v>
      </c>
    </row>
    <row r="37" spans="1:7">
      <c r="A37" s="6">
        <v>2025</v>
      </c>
      <c r="B37" s="7">
        <v>81.652000000000001</v>
      </c>
      <c r="C37" s="7">
        <v>32.424999999999997</v>
      </c>
      <c r="D37" s="7">
        <f t="shared" si="4"/>
        <v>49.227000000000004</v>
      </c>
      <c r="E37" s="7">
        <v>4.2489999999999997</v>
      </c>
      <c r="F37" s="7">
        <v>4.141</v>
      </c>
      <c r="G37" s="6">
        <f t="shared" si="2"/>
        <v>0.10799999999999965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797D42-61C1-4A16-AB06-F220BAE7E839}">
          <x14:formula1>
            <xm:f>Sheet1!$A$2:$A$37</xm:f>
          </x14:formula1>
          <xm:sqref>I2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BBC0-B41D-4A59-B196-86DB4A44CE88}">
  <dimension ref="A30:F66"/>
  <sheetViews>
    <sheetView tabSelected="1" topLeftCell="A29" workbookViewId="0">
      <selection activeCell="E31" sqref="E31"/>
    </sheetView>
  </sheetViews>
  <sheetFormatPr defaultRowHeight="14.5"/>
  <cols>
    <col min="2" max="2" width="8.54296875" bestFit="1" customWidth="1"/>
    <col min="3" max="3" width="17.36328125" customWidth="1"/>
    <col min="4" max="4" width="17.90625" customWidth="1"/>
    <col min="5" max="5" width="11.7265625" bestFit="1" customWidth="1"/>
  </cols>
  <sheetData>
    <row r="30" spans="1:6">
      <c r="A30" s="11" t="s">
        <v>0</v>
      </c>
      <c r="B30" s="11" t="s">
        <v>18</v>
      </c>
      <c r="C30" s="11" t="s">
        <v>19</v>
      </c>
      <c r="D30" t="s">
        <v>22</v>
      </c>
      <c r="E30" t="s">
        <v>20</v>
      </c>
    </row>
    <row r="31" spans="1:6" ht="36">
      <c r="A31">
        <f>Sheet1!A2</f>
        <v>1990</v>
      </c>
      <c r="B31" s="2">
        <f>Sheet2!D2</f>
        <v>55.86099999999999</v>
      </c>
      <c r="C31">
        <f t="shared" ref="C31:C66" si="0">B32-B31</f>
        <v>-0.11699999999999022</v>
      </c>
      <c r="D31" t="e">
        <f>IF(A31=$E$31,B31,NA())</f>
        <v>#N/A</v>
      </c>
      <c r="E31" s="12">
        <v>1999</v>
      </c>
      <c r="F31" t="str">
        <f>"In "&amp;E31&amp;", the gap between male and female LFPR was "&amp;ROUND(F33,1)&amp;" percentage points."</f>
        <v>In 1999, the gap between male and female LFPR was 52.9 percentage points.</v>
      </c>
    </row>
    <row r="32" spans="1:6">
      <c r="A32">
        <f>Sheet1!A3</f>
        <v>1991</v>
      </c>
      <c r="B32" s="2">
        <f>Sheet2!D3</f>
        <v>55.744</v>
      </c>
      <c r="C32">
        <f t="shared" si="0"/>
        <v>-0.13899999999999579</v>
      </c>
      <c r="D32" t="e">
        <f t="shared" ref="D32:D66" si="1">IF(A32=$E$31,B32,NA())</f>
        <v>#N/A</v>
      </c>
    </row>
    <row r="33" spans="1:6">
      <c r="A33">
        <f>Sheet1!A4</f>
        <v>1992</v>
      </c>
      <c r="B33" s="2">
        <f>Sheet2!D4</f>
        <v>55.605000000000004</v>
      </c>
      <c r="C33">
        <f t="shared" si="0"/>
        <v>-0.1460000000000008</v>
      </c>
      <c r="D33" t="e">
        <f t="shared" si="1"/>
        <v>#N/A</v>
      </c>
      <c r="E33" t="s">
        <v>21</v>
      </c>
      <c r="F33">
        <f>_xlfn.XLOOKUP(E31,$A$31:$A$66,$B$31:$B$66)</f>
        <v>52.853000000000002</v>
      </c>
    </row>
    <row r="34" spans="1:6">
      <c r="A34">
        <f>Sheet1!A5</f>
        <v>1993</v>
      </c>
      <c r="B34" s="2">
        <f>Sheet2!D5</f>
        <v>55.459000000000003</v>
      </c>
      <c r="C34">
        <f t="shared" si="0"/>
        <v>-0.17900000000000205</v>
      </c>
      <c r="D34" t="e">
        <f t="shared" si="1"/>
        <v>#N/A</v>
      </c>
    </row>
    <row r="35" spans="1:6">
      <c r="A35">
        <f>Sheet1!A6</f>
        <v>1994</v>
      </c>
      <c r="B35" s="2">
        <f>Sheet2!D6</f>
        <v>55.28</v>
      </c>
      <c r="C35">
        <f t="shared" si="0"/>
        <v>-0.46800000000000352</v>
      </c>
      <c r="D35" t="e">
        <f t="shared" si="1"/>
        <v>#N/A</v>
      </c>
    </row>
    <row r="36" spans="1:6">
      <c r="A36">
        <f>Sheet1!A7</f>
        <v>1995</v>
      </c>
      <c r="B36" s="2">
        <f>Sheet2!D7</f>
        <v>54.811999999999998</v>
      </c>
      <c r="C36">
        <f t="shared" si="0"/>
        <v>-0.48099999999999454</v>
      </c>
      <c r="D36" t="e">
        <f t="shared" si="1"/>
        <v>#N/A</v>
      </c>
    </row>
    <row r="37" spans="1:6">
      <c r="A37">
        <f>Sheet1!A8</f>
        <v>1996</v>
      </c>
      <c r="B37" s="2">
        <f>Sheet2!D8</f>
        <v>54.331000000000003</v>
      </c>
      <c r="C37">
        <f t="shared" si="0"/>
        <v>-0.48600000000000421</v>
      </c>
      <c r="D37" t="e">
        <f t="shared" si="1"/>
        <v>#N/A</v>
      </c>
    </row>
    <row r="38" spans="1:6">
      <c r="A38">
        <f>Sheet1!A9</f>
        <v>1997</v>
      </c>
      <c r="B38" s="2">
        <f>Sheet2!D9</f>
        <v>53.844999999999999</v>
      </c>
      <c r="C38">
        <f t="shared" si="0"/>
        <v>-0.492999999999995</v>
      </c>
      <c r="D38" t="e">
        <f t="shared" si="1"/>
        <v>#N/A</v>
      </c>
    </row>
    <row r="39" spans="1:6">
      <c r="A39">
        <f>Sheet1!A10</f>
        <v>1998</v>
      </c>
      <c r="B39" s="2">
        <f>Sheet2!D10</f>
        <v>53.352000000000004</v>
      </c>
      <c r="C39">
        <f t="shared" si="0"/>
        <v>-0.49900000000000233</v>
      </c>
      <c r="D39" t="e">
        <f t="shared" si="1"/>
        <v>#N/A</v>
      </c>
    </row>
    <row r="40" spans="1:6">
      <c r="A40">
        <f>Sheet1!A11</f>
        <v>1999</v>
      </c>
      <c r="B40" s="2">
        <f>Sheet2!D11</f>
        <v>52.853000000000002</v>
      </c>
      <c r="C40">
        <f t="shared" si="0"/>
        <v>-0.50799999999999557</v>
      </c>
      <c r="D40">
        <f t="shared" si="1"/>
        <v>52.853000000000002</v>
      </c>
    </row>
    <row r="41" spans="1:6">
      <c r="A41">
        <f>Sheet1!A12</f>
        <v>2000</v>
      </c>
      <c r="B41" s="2">
        <f>Sheet2!D12</f>
        <v>52.345000000000006</v>
      </c>
      <c r="C41">
        <f t="shared" si="0"/>
        <v>-0.45900000000000318</v>
      </c>
      <c r="D41" t="e">
        <f t="shared" si="1"/>
        <v>#N/A</v>
      </c>
    </row>
    <row r="42" spans="1:6">
      <c r="A42">
        <f>Sheet1!A13</f>
        <v>2001</v>
      </c>
      <c r="B42" s="2">
        <f>Sheet2!D13</f>
        <v>51.886000000000003</v>
      </c>
      <c r="C42">
        <f t="shared" si="0"/>
        <v>-0.46300000000000807</v>
      </c>
      <c r="D42" t="e">
        <f t="shared" si="1"/>
        <v>#N/A</v>
      </c>
    </row>
    <row r="43" spans="1:6">
      <c r="A43">
        <f>Sheet1!A14</f>
        <v>2002</v>
      </c>
      <c r="B43" s="2">
        <f>Sheet2!D14</f>
        <v>51.422999999999995</v>
      </c>
      <c r="C43">
        <f t="shared" si="0"/>
        <v>-0.46899999999998698</v>
      </c>
      <c r="D43" t="e">
        <f t="shared" si="1"/>
        <v>#N/A</v>
      </c>
    </row>
    <row r="44" spans="1:6">
      <c r="A44">
        <f>Sheet1!A15</f>
        <v>2003</v>
      </c>
      <c r="B44" s="2">
        <f>Sheet2!D15</f>
        <v>50.954000000000008</v>
      </c>
      <c r="C44">
        <f t="shared" si="0"/>
        <v>-0.47800000000000864</v>
      </c>
      <c r="D44" t="e">
        <f t="shared" si="1"/>
        <v>#N/A</v>
      </c>
    </row>
    <row r="45" spans="1:6">
      <c r="A45">
        <f>Sheet1!A16</f>
        <v>2004</v>
      </c>
      <c r="B45" s="2">
        <f>Sheet2!D16</f>
        <v>50.475999999999999</v>
      </c>
      <c r="C45">
        <f t="shared" si="0"/>
        <v>-0.48100000000000165</v>
      </c>
      <c r="D45" t="e">
        <f t="shared" si="1"/>
        <v>#N/A</v>
      </c>
    </row>
    <row r="46" spans="1:6">
      <c r="A46">
        <f>Sheet1!A17</f>
        <v>2005</v>
      </c>
      <c r="B46" s="2">
        <f>Sheet2!D17</f>
        <v>49.994999999999997</v>
      </c>
      <c r="C46">
        <f t="shared" si="0"/>
        <v>0.79999999999999716</v>
      </c>
      <c r="D46" t="e">
        <f t="shared" si="1"/>
        <v>#N/A</v>
      </c>
    </row>
    <row r="47" spans="1:6">
      <c r="A47">
        <f>Sheet1!A18</f>
        <v>2006</v>
      </c>
      <c r="B47" s="2">
        <f>Sheet2!D18</f>
        <v>50.794999999999995</v>
      </c>
      <c r="C47">
        <f t="shared" si="0"/>
        <v>0.77000000000000313</v>
      </c>
      <c r="D47" t="e">
        <f t="shared" si="1"/>
        <v>#N/A</v>
      </c>
    </row>
    <row r="48" spans="1:6">
      <c r="A48">
        <f>Sheet1!A19</f>
        <v>2007</v>
      </c>
      <c r="B48" s="2">
        <f>Sheet2!D19</f>
        <v>51.564999999999998</v>
      </c>
      <c r="C48">
        <f t="shared" si="0"/>
        <v>0.74600000000000932</v>
      </c>
      <c r="D48" t="e">
        <f t="shared" si="1"/>
        <v>#N/A</v>
      </c>
    </row>
    <row r="49" spans="1:4">
      <c r="A49">
        <f>Sheet1!A20</f>
        <v>2008</v>
      </c>
      <c r="B49" s="2">
        <f>Sheet2!D20</f>
        <v>52.311000000000007</v>
      </c>
      <c r="C49">
        <f t="shared" si="0"/>
        <v>0.72200000000000131</v>
      </c>
      <c r="D49" t="e">
        <f t="shared" si="1"/>
        <v>#N/A</v>
      </c>
    </row>
    <row r="50" spans="1:4">
      <c r="A50">
        <f>Sheet1!A21</f>
        <v>2009</v>
      </c>
      <c r="B50" s="2">
        <f>Sheet2!D21</f>
        <v>53.033000000000008</v>
      </c>
      <c r="C50">
        <f t="shared" si="0"/>
        <v>0.69899999999999096</v>
      </c>
      <c r="D50" t="e">
        <f t="shared" si="1"/>
        <v>#N/A</v>
      </c>
    </row>
    <row r="51" spans="1:4">
      <c r="A51">
        <f>Sheet1!A22</f>
        <v>2010</v>
      </c>
      <c r="B51" s="2">
        <f>Sheet2!D22</f>
        <v>53.731999999999999</v>
      </c>
      <c r="C51">
        <f t="shared" si="0"/>
        <v>0.41700000000000159</v>
      </c>
      <c r="D51" t="e">
        <f t="shared" si="1"/>
        <v>#N/A</v>
      </c>
    </row>
    <row r="52" spans="1:4">
      <c r="A52">
        <f>Sheet1!A23</f>
        <v>2011</v>
      </c>
      <c r="B52" s="2">
        <f>Sheet2!D23</f>
        <v>54.149000000000001</v>
      </c>
      <c r="C52">
        <f t="shared" si="0"/>
        <v>0.4030000000000058</v>
      </c>
      <c r="D52" t="e">
        <f t="shared" si="1"/>
        <v>#N/A</v>
      </c>
    </row>
    <row r="53" spans="1:4">
      <c r="A53">
        <f>Sheet1!A24</f>
        <v>2012</v>
      </c>
      <c r="B53" s="2">
        <f>Sheet2!D24</f>
        <v>54.552000000000007</v>
      </c>
      <c r="C53">
        <f t="shared" si="0"/>
        <v>-1.2000000000000455E-2</v>
      </c>
      <c r="D53" t="e">
        <f t="shared" si="1"/>
        <v>#N/A</v>
      </c>
    </row>
    <row r="54" spans="1:4">
      <c r="A54">
        <f>Sheet1!A25</f>
        <v>2013</v>
      </c>
      <c r="B54" s="2">
        <f>Sheet2!D25</f>
        <v>54.540000000000006</v>
      </c>
      <c r="C54">
        <f t="shared" si="0"/>
        <v>-8.8999999999998636E-2</v>
      </c>
      <c r="D54" t="e">
        <f t="shared" si="1"/>
        <v>#N/A</v>
      </c>
    </row>
    <row r="55" spans="1:4">
      <c r="A55">
        <f>Sheet1!A26</f>
        <v>2014</v>
      </c>
      <c r="B55" s="2">
        <f>Sheet2!D26</f>
        <v>54.451000000000008</v>
      </c>
      <c r="C55">
        <f t="shared" si="0"/>
        <v>-0.18000000000001393</v>
      </c>
      <c r="D55" t="e">
        <f t="shared" si="1"/>
        <v>#N/A</v>
      </c>
    </row>
    <row r="56" spans="1:4">
      <c r="A56">
        <f>Sheet1!A27</f>
        <v>2015</v>
      </c>
      <c r="B56" s="2">
        <f>Sheet2!D27</f>
        <v>54.270999999999994</v>
      </c>
      <c r="C56">
        <f t="shared" si="0"/>
        <v>-0.21799999999999642</v>
      </c>
      <c r="D56" t="e">
        <f t="shared" si="1"/>
        <v>#N/A</v>
      </c>
    </row>
    <row r="57" spans="1:4">
      <c r="A57">
        <f>Sheet1!A28</f>
        <v>2016</v>
      </c>
      <c r="B57" s="2">
        <f>Sheet2!D28</f>
        <v>54.052999999999997</v>
      </c>
      <c r="C57">
        <f t="shared" si="0"/>
        <v>-0.23799999999999955</v>
      </c>
      <c r="D57" t="e">
        <f t="shared" si="1"/>
        <v>#N/A</v>
      </c>
    </row>
    <row r="58" spans="1:4">
      <c r="A58">
        <f>Sheet1!A29</f>
        <v>2017</v>
      </c>
      <c r="B58" s="2">
        <f>Sheet2!D29</f>
        <v>53.814999999999998</v>
      </c>
      <c r="C58">
        <f t="shared" si="0"/>
        <v>-0.22499999999999432</v>
      </c>
      <c r="D58" t="e">
        <f t="shared" si="1"/>
        <v>#N/A</v>
      </c>
    </row>
    <row r="59" spans="1:4">
      <c r="A59">
        <f>Sheet1!A30</f>
        <v>2018</v>
      </c>
      <c r="B59" s="2">
        <f>Sheet2!D30</f>
        <v>53.59</v>
      </c>
      <c r="C59">
        <f t="shared" si="0"/>
        <v>-0.20100000000000762</v>
      </c>
      <c r="D59" t="e">
        <f t="shared" si="1"/>
        <v>#N/A</v>
      </c>
    </row>
    <row r="60" spans="1:4">
      <c r="A60">
        <f>Sheet1!A31</f>
        <v>2019</v>
      </c>
      <c r="B60" s="2">
        <f>Sheet2!D31</f>
        <v>53.388999999999996</v>
      </c>
      <c r="C60">
        <f t="shared" si="0"/>
        <v>-0.26699999999999591</v>
      </c>
      <c r="D60" t="e">
        <f t="shared" si="1"/>
        <v>#N/A</v>
      </c>
    </row>
    <row r="61" spans="1:4">
      <c r="A61">
        <f>Sheet1!A32</f>
        <v>2020</v>
      </c>
      <c r="B61" s="2">
        <f>Sheet2!D32</f>
        <v>53.122</v>
      </c>
      <c r="C61">
        <f t="shared" si="0"/>
        <v>-1.335000000000008</v>
      </c>
      <c r="D61" t="e">
        <f t="shared" si="1"/>
        <v>#N/A</v>
      </c>
    </row>
    <row r="62" spans="1:4">
      <c r="A62">
        <f>Sheet1!A33</f>
        <v>2021</v>
      </c>
      <c r="B62" s="2">
        <f>Sheet2!D33</f>
        <v>51.786999999999992</v>
      </c>
      <c r="C62">
        <f t="shared" si="0"/>
        <v>-0.98099999999999454</v>
      </c>
      <c r="D62" t="e">
        <f t="shared" si="1"/>
        <v>#N/A</v>
      </c>
    </row>
    <row r="63" spans="1:4">
      <c r="A63">
        <f>Sheet1!A34</f>
        <v>2022</v>
      </c>
      <c r="B63" s="2">
        <f>Sheet2!D34</f>
        <v>50.805999999999997</v>
      </c>
      <c r="C63">
        <f t="shared" si="0"/>
        <v>-0.88699999999999335</v>
      </c>
      <c r="D63" t="e">
        <f t="shared" si="1"/>
        <v>#N/A</v>
      </c>
    </row>
    <row r="64" spans="1:4">
      <c r="A64">
        <f>Sheet1!A35</f>
        <v>2023</v>
      </c>
      <c r="B64" s="2">
        <f>Sheet2!D35</f>
        <v>49.919000000000004</v>
      </c>
      <c r="C64">
        <f t="shared" si="0"/>
        <v>-0.84499999999999886</v>
      </c>
      <c r="D64" t="e">
        <f t="shared" si="1"/>
        <v>#N/A</v>
      </c>
    </row>
    <row r="65" spans="1:4">
      <c r="A65">
        <f>Sheet1!A36</f>
        <v>2024</v>
      </c>
      <c r="B65" s="2">
        <f>Sheet2!D36</f>
        <v>49.074000000000005</v>
      </c>
      <c r="C65">
        <f t="shared" si="0"/>
        <v>0.15299999999999869</v>
      </c>
      <c r="D65" t="e">
        <f t="shared" si="1"/>
        <v>#N/A</v>
      </c>
    </row>
    <row r="66" spans="1:4">
      <c r="A66">
        <f>Sheet1!A37</f>
        <v>2025</v>
      </c>
      <c r="B66" s="2">
        <f>Sheet2!D37</f>
        <v>49.227000000000004</v>
      </c>
      <c r="C66">
        <f t="shared" si="0"/>
        <v>-49.227000000000004</v>
      </c>
      <c r="D66" t="e">
        <f t="shared" si="1"/>
        <v>#N/A</v>
      </c>
    </row>
  </sheetData>
  <dataValidations count="1">
    <dataValidation type="list" allowBlank="1" showInputMessage="1" showErrorMessage="1" sqref="E31" xr:uid="{BB1738A9-04D7-467B-98C6-69CF21DF08F5}">
      <formula1>$A$31:$A$66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 Sharma</dc:creator>
  <cp:lastModifiedBy>Ria Sharma</cp:lastModifiedBy>
  <dcterms:created xsi:type="dcterms:W3CDTF">2026-09-18T13:50:51Z</dcterms:created>
  <dcterms:modified xsi:type="dcterms:W3CDTF">2026-09-18T16:06:22Z</dcterms:modified>
</cp:coreProperties>
</file>